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26.xml" ContentType="application/vnd.openxmlformats-officedocument.drawingml.chart+xml"/>
  <Override PartName="/xl/charts/chart14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kładka" sheetId="1" state="visible" r:id="rId3"/>
    <sheet name="Przegląd Modułów" sheetId="2" state="visible" r:id="rId4"/>
    <sheet name="Wszystkie Mechaniki" sheetId="3" state="visible" r:id="rId5"/>
    <sheet name="Parametry Liczbowe" sheetId="4" state="visible" r:id="rId6"/>
    <sheet name="Reguły Tekstowe" sheetId="5" state="visible" r:id="rId7"/>
    <sheet name="Poziomy i Progresja" sheetId="6" state="visible" r:id="rId8"/>
    <sheet name="Walka - Parametry" sheetId="7" state="visible" r:id="rId9"/>
    <sheet name="Ekonomia i Ceny" sheetId="8" state="visible" r:id="rId10"/>
    <sheet name="Pety" sheetId="9" state="visible" r:id="rId11"/>
    <sheet name="Rzemiosło i Ulepszenia" sheetId="10" state="visible" r:id="rId12"/>
    <sheet name="Nagrody Cykliczne" sheetId="11" state="visible" r:id="rId13"/>
    <sheet name="Dungeony i Multi" sheetId="12" state="visible" r:id="rId14"/>
    <sheet name="Roadmapa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<sst xmlns="http://schemas.openxmlformats.org/spreadsheetml/2006/main" count="2240" uniqueCount="1196">
  <si>
    <t xml:space="preserve">BERSERK RUSH</t>
  </si>
  <si>
    <t xml:space="preserve">Katalog Mechanik Gry — Analiza katalogu docs/</t>
  </si>
  <si>
    <t xml:space="preserve">Wygenerowano: 2026-08-03   •   Źródło: C:\dev\berserk-rush\docs\ (26 modułów + roadmapa)</t>
  </si>
  <si>
    <t xml:space="preserve">Zawartość skoroszytu</t>
  </si>
  <si>
    <t xml:space="preserve">Przegląd Modułów</t>
  </si>
  <si>
    <t xml:space="preserve">Lista 26 modułów gry z kategorią, typem mechaniki, wymaganym poziomem i opisem.</t>
  </si>
  <si>
    <t xml:space="preserve">Wszystkie Mechaniki</t>
  </si>
  <si>
    <t xml:space="preserve">Indeks ~148 nazwanych mechanik/podsystemów wraz z typem (liczbowa/tekstowa/mieszana) i opisem.</t>
  </si>
  <si>
    <t xml:space="preserve">Parametry Liczbowe</t>
  </si>
  <si>
    <t xml:space="preserve">Płaska tabela ~150 wyekstrahowanych wartości liczbowych (limity, szanse, formuły, koszty).</t>
  </si>
  <si>
    <t xml:space="preserve">Reguły Tekstowe</t>
  </si>
  <si>
    <t xml:space="preserve">Tabela ~75 reguł jakościowych/projektowych (blokady, procesy, zasady balansu, zapisy prawne).</t>
  </si>
  <si>
    <t xml:space="preserve">Poziomy i Progresja</t>
  </si>
  <si>
    <t xml:space="preserve">Bramki poziomowe, krzywa wymaganego XP (formuła) i punkty postaci/umiejętności.</t>
  </si>
  <si>
    <t xml:space="preserve">Walka - Parametry</t>
  </si>
  <si>
    <t xml:space="preserve">Twarde limity walki, skalowanie potworów, wagi atrybutów wg broni, formuły HP/Many.</t>
  </si>
  <si>
    <t xml:space="preserve">Ekonomia i Ceny</t>
  </si>
  <si>
    <t xml:space="preserve">Opłaty rynkowe, koszty zwojów, dostępu do Lustra i kosztów zaklęć.</t>
  </si>
  <si>
    <t xml:space="preserve">Pety</t>
  </si>
  <si>
    <t xml:space="preserve">Tiery, macierz wyklucia, szanse i koszty fuzji, warianty porażki fuzji.</t>
  </si>
  <si>
    <t xml:space="preserve">Rzemiosło i Ulepszenia</t>
  </si>
  <si>
    <t xml:space="preserve">Rzadkość craftingu, krzywa szans zaklęć, mikstury, ulepszanie +0..+9.</t>
  </si>
  <si>
    <t xml:space="preserve">Nagrody Cykliczne</t>
  </si>
  <si>
    <t xml:space="preserve">Rankingi tygodniowe i nagrody World Bossa wg miejsca w rankingu.</t>
  </si>
  <si>
    <t xml:space="preserve">Dungeony i Multi</t>
  </si>
  <si>
    <t xml:space="preserve">Skalowanie trudności i nagród w trybie Multi-Dungeon (1x/3x/5x).</t>
  </si>
  <si>
    <t xml:space="preserve">Roadmapa</t>
  </si>
  <si>
    <t xml:space="preserve">Status 18 faz rozwoju gry (zakończone / planowane).</t>
  </si>
  <si>
    <t xml:space="preserve">Metodologia: wszystkie wartości liczbowe i reguły odtworzone bezpośrednio z treści plików docs/*.md i docs/modules/*.md (26 plików). Tam, gdzie dokumentacja nie podaje dokładnej liczby (np. pełna krzywa szans ulepszania +2..+9), zaznaczono to wprost w arkuszu zamiast zgadywać.</t>
  </si>
  <si>
    <t xml:space="preserve">26 modułów gry Berserk Rush — kategoria, typ mechaniki, wymagany poziom i liczba udokumentowanych mechanik</t>
  </si>
  <si>
    <t xml:space="preserve">Moduł</t>
  </si>
  <si>
    <t xml:space="preserve">Kategoria</t>
  </si>
  <si>
    <t xml:space="preserve">Typ Mechaniki</t>
  </si>
  <si>
    <t xml:space="preserve">Wymagany poziom</t>
  </si>
  <si>
    <t xml:space="preserve">Liczba mechanik</t>
  </si>
  <si>
    <t xml:space="preserve">Parametry liczbowe</t>
  </si>
  <si>
    <t xml:space="preserve">Reguły tekstowe</t>
  </si>
  <si>
    <t xml:space="preserve">Krótki opis</t>
  </si>
  <si>
    <t xml:space="preserve">Achievements &amp; Kolekcje</t>
  </si>
  <si>
    <t xml:space="preserve">Systemy Dodatkowe</t>
  </si>
  <si>
    <t xml:space="preserve">Mieszana</t>
  </si>
  <si>
    <t xml:space="preserve">-</t>
  </si>
  <si>
    <t xml:space="preserve">Osiągnięcia, Bestiariusz i Tytuły napędzane eventami, dające długoterminowe cele (endgame retention).</t>
  </si>
  <si>
    <t xml:space="preserve">Kowal (Blacksmith)</t>
  </si>
  <si>
    <t xml:space="preserve">Ekonomia i Rzemiosło</t>
  </si>
  <si>
    <t xml:space="preserve">Zunifikowana domena ulepszania (+0..+9) i craftingu broni/zbroi, scalona z dawnych Weaponsmith/Armorsmith.</t>
  </si>
  <si>
    <t xml:space="preserve">Postacie (Characters)</t>
  </si>
  <si>
    <t xml:space="preserve">Postać i Progresja</t>
  </si>
  <si>
    <t xml:space="preserve">Tworzenie postaci, przydział atrybutów startowych, system poziomów i XP.</t>
  </si>
  <si>
    <t xml:space="preserve">Walka (Combat)</t>
  </si>
  <si>
    <t xml:space="preserve">Walka (PvE)</t>
  </si>
  <si>
    <t xml:space="preserve">Liczbowa</t>
  </si>
  <si>
    <t xml:space="preserve">Asynchroniczny, turowy silnik walki PvE: inicjatywa, krytyki, uniki, obrażenia, specjalizacje broni.</t>
  </si>
  <si>
    <t xml:space="preserve">Dungeony</t>
  </si>
  <si>
    <t xml:space="preserve">wg lochu</t>
  </si>
  <si>
    <t xml:space="preserve">Instancjonowane, etapowe PvE z kumulacją łupu i trybem Multi-Dungeon (1x/3x/5x).</t>
  </si>
  <si>
    <t xml:space="preserve">Gospodarka i Market</t>
  </si>
  <si>
    <t xml:space="preserve">Handel graczy: wystawianie ofert, opłaty, prowizje, filtrowanie rynku.</t>
  </si>
  <si>
    <t xml:space="preserve">Globalny Czat</t>
  </si>
  <si>
    <t xml:space="preserve">Społeczność</t>
  </si>
  <si>
    <t xml:space="preserve">Wielokanałowy czat real-time (Reverb/WebSockets) z integracją Discord.</t>
  </si>
  <si>
    <t xml:space="preserve">Gildie</t>
  </si>
  <si>
    <t xml:space="preserve">10</t>
  </si>
  <si>
    <t xml:space="preserve">Zrzeszanie graczy, skarbiec, role, Wojny Gildii 5v5.</t>
  </si>
  <si>
    <t xml:space="preserve">Sklep Premium (Item Shop)</t>
  </si>
  <si>
    <t xml:space="preserve">Zakup Gemów (Stripe), status Premium i Zwoje Użytkowe.</t>
  </si>
  <si>
    <t xml:space="preserve">Łupy (Loot)</t>
  </si>
  <si>
    <t xml:space="preserve">Tabele zrzutów, Weighted Picker, balans wag dropu materiałów/przedmiotów.</t>
  </si>
  <si>
    <t xml:space="preserve">Poczta (Mail)</t>
  </si>
  <si>
    <t xml:space="preserve">Techniczne / Meta</t>
  </si>
  <si>
    <t xml:space="preserve">Tekstowa</t>
  </si>
  <si>
    <t xml:space="preserve">Asynchroniczny kanał System -&gt; Gracz z załącznikami walut/przedmiotów.</t>
  </si>
  <si>
    <t xml:space="preserve">Handlarz (Merchant)</t>
  </si>
  <si>
    <t xml:space="preserve">Zunifikowany NPC kupna/sprzedaży ekwipunku, asortyment w tierach poziomowych.</t>
  </si>
  <si>
    <t xml:space="preserve">Lustro (Mirror)</t>
  </si>
  <si>
    <t xml:space="preserve">30</t>
  </si>
  <si>
    <t xml:space="preserve">Offline farming EXP/złota/materiałów w oparciu o wcześniej zaobserwowane tempo na mapie.</t>
  </si>
  <si>
    <t xml:space="preserve">Chowańce (Pets)</t>
  </si>
  <si>
    <t xml:space="preserve">Wykluwanie, Fuzja (2-&gt;1), karmienie, archetypy i ekwipunek chowańców.</t>
  </si>
  <si>
    <t xml:space="preserve">Profil i Ekwipunek</t>
  </si>
  <si>
    <t xml:space="preserve">Statystyki gracza, rozwój atrybutów, zarządzanie ekwipunkiem i zestawami.</t>
  </si>
  <si>
    <t xml:space="preserve">PvP i Arena</t>
  </si>
  <si>
    <t xml:space="preserve">PvP i Rywalizacja</t>
  </si>
  <si>
    <t xml:space="preserve">15</t>
  </si>
  <si>
    <t xml:space="preserve">Asynchroniczne starcia graczy na Widmach (snapshotach), system ELO i Lig.</t>
  </si>
  <si>
    <t xml:space="preserve">Questy (Tablica Wyzwań)</t>
  </si>
  <si>
    <t xml:space="preserve">5</t>
  </si>
  <si>
    <t xml:space="preserve">Misje Hunting/Gathering/Action ze stanową maszyną progresu.</t>
  </si>
  <si>
    <t xml:space="preserve">Ustawienia Gry</t>
  </si>
  <si>
    <t xml:space="preserve">Klienckie (localStorage) ustawienia dźwięku i powiadomień.</t>
  </si>
  <si>
    <t xml:space="preserve">Umiejętności Bojowe (Skills)</t>
  </si>
  <si>
    <t xml:space="preserve">System skilli aktywnych/pasywnych zastępujących atak podstawowy w walce.</t>
  </si>
  <si>
    <t xml:space="preserve">Logowanie Społecznościowe</t>
  </si>
  <si>
    <t xml:space="preserve">OAuth2 (Google/Facebook/Apple) z wymuszeniem konfiguracji unikalnego nicku.</t>
  </si>
  <si>
    <t xml:space="preserve">Samouczek (Tutorial)</t>
  </si>
  <si>
    <t xml:space="preserve">0-43 (etapy)</t>
  </si>
  <si>
    <t xml:space="preserve">Liniowy samouczek (Kapitan) prowadzący gracza przez kluczowe systemy gry.</t>
  </si>
  <si>
    <t xml:space="preserve">Kuźnia (Upgrades)</t>
  </si>
  <si>
    <t xml:space="preserve">Ulepszanie przedmiotów +0..+9 z malejącą szansą powodzenia.</t>
  </si>
  <si>
    <t xml:space="preserve">Rankingi Tygodniowe</t>
  </si>
  <si>
    <t xml:space="preserve">6 kategorii rywalizacji tygodniowej z automatycznymi nagrodami w Gemach.</t>
  </si>
  <si>
    <t xml:space="preserve">Wiedźma i Rzemiosło</t>
  </si>
  <si>
    <t xml:space="preserve">Sklep alchemiczny, warzenie mikstur/ekwipunku, zaklinanie i dostęp do Lustra.</t>
  </si>
  <si>
    <t xml:space="preserve">Czarodziej (Wizard/Enchant)</t>
  </si>
  <si>
    <t xml:space="preserve">Zaklinanie przedmiotów (do 5 bonusów) i reroll z rozkładem Gaussa.</t>
  </si>
  <si>
    <t xml:space="preserve">Światowy Boss (World Boss)</t>
  </si>
  <si>
    <t xml:space="preserve">3 współdzielone instancje bossów (low/mid/high) ze wspólną, niemalejącą pulą HP.</t>
  </si>
  <si>
    <t xml:space="preserve">Indeks każdej nazwanej mechaniki/podsystemu opisanego w docs/modules/*.md</t>
  </si>
  <si>
    <t xml:space="preserve">Nr</t>
  </si>
  <si>
    <t xml:space="preserve">Nazwa Mechaniki</t>
  </si>
  <si>
    <t xml:space="preserve">Typ</t>
  </si>
  <si>
    <t xml:space="preserve">Opis</t>
  </si>
  <si>
    <t xml:space="preserve">Wydarzenia i Nasłuchiwanie</t>
  </si>
  <si>
    <t xml:space="preserve">Cały system napędzany asynchronicznymi eventami (MonsterDefeated -&gt; AchievementProgressed -&gt; toast UI).</t>
  </si>
  <si>
    <t xml:space="preserve">Tabele w Bazie Danych</t>
  </si>
  <si>
    <t xml:space="preserve">achievements/character_achievements/titles/character_titles - słowniki i powiązania many-to-many.</t>
  </si>
  <si>
    <t xml:space="preserve">Księga Osiągnięć</t>
  </si>
  <si>
    <t xml:space="preserve">Osiągnięcia z 'Parent ID' tworzą łańcuchy trudności (Tier I/II), nagradzają punktami/złotem/tytułem/przedmiotem.</t>
  </si>
  <si>
    <t xml:space="preserve">Tytuły i Reprezentacja</t>
  </si>
  <si>
    <t xml:space="preserve">Gracz wybiera 1 zdobyty tytuł jako stały prefiks na czacie, z pasywnymi bonusami statystyk.</t>
  </si>
  <si>
    <t xml:space="preserve">Zbieractwo Kontekstowe (Enumy)</t>
  </si>
  <si>
    <t xml:space="preserve">MonsterType/MonsterRank przekazywane jako kontekst, by warunki JSON trafiały tylko właściwe zdarzenia.</t>
  </si>
  <si>
    <t xml:space="preserve">Panel Administratora</t>
  </si>
  <si>
    <t xml:space="preserve">GUI do tworzenia osiągnięć, warunków i nagród bez pisania kodu.</t>
  </si>
  <si>
    <t xml:space="preserve">Unifikacja Domeny</t>
  </si>
  <si>
    <t xml:space="preserve">Scalenie funkcjonalności Weaponsmith i Armorsmith w jeden widok Kowala.</t>
  </si>
  <si>
    <t xml:space="preserve">Zakładka Kuźnia Ulepszeń</t>
  </si>
  <si>
    <t xml:space="preserve">Lista przedmiotów do ulepszenia (weapon/armor) z kosztami i szansą powodzenia.</t>
  </si>
  <si>
    <t xml:space="preserve">Zakładka Rzemiosło</t>
  </si>
  <si>
    <t xml:space="preserve">Receptury (ItemRecipe) dla broni/zbroi, wspólny CraftingService z Wiedźmą.</t>
  </si>
  <si>
    <t xml:space="preserve">Filtr Typu/Slotu</t>
  </si>
  <si>
    <t xml:space="preserve">5 filtrów (Wszystko/Broń/Hełmy/Zbroje/Buty) działających spójnie na obu zakładkach.</t>
  </si>
  <si>
    <t xml:space="preserve">Podpowiedzi Materiałów</t>
  </si>
  <si>
    <t xml:space="preserve">Tooltip pokazuje z jakich potworów i map zdobyć dany surowiec.</t>
  </si>
  <si>
    <t xml:space="preserve">Tworzenie Postaci</t>
  </si>
  <si>
    <t xml:space="preserve">Max 4 postacie/konto, 10 punktów startowych na 4 atrybuty (zakres 0-10), broń startowa.</t>
  </si>
  <si>
    <t xml:space="preserve">Poziomy i XP</t>
  </si>
  <si>
    <t xml:space="preserve">Krzywa wymaganego XP oraz 3 punkty postaci za każdy zdobyty poziom.</t>
  </si>
  <si>
    <t xml:space="preserve">Nagrody z Walki</t>
  </si>
  <si>
    <t xml:space="preserve">RewardService chroniony idempotency_key, loguje zyski w CurrencyLedger.</t>
  </si>
  <si>
    <t xml:space="preserve">Blokada Wieloosobowa</t>
  </si>
  <si>
    <t xml:space="preserve">Middleware pilnuje jednej aktywnej postaci w sesji, synchronizacja przez localStorage.</t>
  </si>
  <si>
    <t xml:space="preserve">Rozpoczynanie Walki</t>
  </si>
  <si>
    <t xml:space="preserve">Losowanie potwora, inicjatywa wg AGI, encja Encounter w stanie ongoing.</t>
  </si>
  <si>
    <t xml:space="preserve">Symulacja Walki</t>
  </si>
  <si>
    <t xml:space="preserve">Do 50 tur, hit/crit/miss, skalowanie potworów, formuły obrażeń/HP/many.</t>
  </si>
  <si>
    <t xml:space="preserve">Wynik Walki i Nagrody</t>
  </si>
  <si>
    <t xml:space="preserve">Ustalenie zwycięzcy, złoto/exp skalowane różnicą poziomów, log JSON starcia.</t>
  </si>
  <si>
    <t xml:space="preserve">Statystyki Sesji (Session Tracker)</t>
  </si>
  <si>
    <t xml:space="preserve">Pokonani potwory, czas sesji, złoto/min liczone na żywo.</t>
  </si>
  <si>
    <t xml:space="preserve">Auto-Chain i Kara za Przegraną</t>
  </si>
  <si>
    <t xml:space="preserve">700ms opóźnienia po wygranej, 3000ms kary po przegranej zamiast zatrzymania automatu.</t>
  </si>
  <si>
    <t xml:space="preserve">Rasy Potworów (MonsterType)</t>
  </si>
  <si>
    <t xml:space="preserve">6 głównych ras determinujących bonusy strong_vs/resist z ekwipunku.</t>
  </si>
  <si>
    <t xml:space="preserve">Otrucie i Ogłuszenie z Ekwipunku (Procki)</t>
  </si>
  <si>
    <t xml:space="preserve">Pasywne afiksy poison_chance/stun_chance (1-7%) niezależne od skilli.</t>
  </si>
  <si>
    <t xml:space="preserve">Strong Przeciwko Bohaterom</t>
  </si>
  <si>
    <t xml:space="preserve">Afiks strong_vs_hero (5-20%) działający wyłącznie w PvP/GvG.</t>
  </si>
  <si>
    <t xml:space="preserve">Zabezpieczenie Anti-Cheat</t>
  </si>
  <si>
    <t xml:space="preserve">Frontend session lock + backendowy rate limit 1300ms i lockForUpdate.</t>
  </si>
  <si>
    <t xml:space="preserve">Nagrody za Walkę Grupową (fix)</t>
  </si>
  <si>
    <t xml:space="preserve">Złoto/XP/łup liczone osobno na każdego z 3-4 potworów w starciu over-level.</t>
  </si>
  <si>
    <t xml:space="preserve">Mikstury Łowcy Potworów</t>
  </si>
  <si>
    <t xml:space="preserve">bonus_vs_monsters +5/10/15% na 1h/3h/6h, sumujący się z premiami rasowymi.</t>
  </si>
  <si>
    <t xml:space="preserve">Wymagania i Klucze</t>
  </si>
  <si>
    <t xml:space="preserve">min_level lochu oraz zużywany bezpowrotnie przedmiot-klucz.</t>
  </si>
  <si>
    <t xml:space="preserve">Struktura i Etapy</t>
  </si>
  <si>
    <t xml:space="preserve">Sekwencyjne DungeonStage, każdy z potworem o ściśle określonych statystykach.</t>
  </si>
  <si>
    <t xml:space="preserve">Walka i Symulacja w Tle</t>
  </si>
  <si>
    <t xml:space="preserve">Kolejki Laravel (Jobs) symulują walkę asynchronicznie.</t>
  </si>
  <si>
    <t xml:space="preserve">System Kumulacji Łupów</t>
  </si>
  <si>
    <t xml:space="preserve">Nagrody magazynowane do końca lochu; śmierć = utrata wszystkiego (element ryzyka).</t>
  </si>
  <si>
    <t xml:space="preserve">Drop Zwojów Użytkowych</t>
  </si>
  <si>
    <t xml:space="preserve">Szansa na Zwoje rośnie proporcjonalnie do trudności lochu.</t>
  </si>
  <si>
    <t xml:space="preserve">Gwarantowany Drop Skrzyń z Bossów</t>
  </si>
  <si>
    <t xml:space="preserve">100% drop 1-3 skrzyń z bossa lochu.</t>
  </si>
  <si>
    <t xml:space="preserve">Multi-Dungeony (Mnożniki Wypraw)</t>
  </si>
  <si>
    <t xml:space="preserve">Tryby 1x/3x/5x skalujące statystyki potworów (100/135/170%) i nagrody.</t>
  </si>
  <si>
    <t xml:space="preserve">Modele (Ledger/Listing/Purchase)</t>
  </si>
  <si>
    <t xml:space="preserve">CurrencyLedger, ItemLedger, MarketListing, Purchase jako fundament audytowy.</t>
  </si>
  <si>
    <t xml:space="preserve">Tworzenie Oferty</t>
  </si>
  <si>
    <t xml:space="preserve">Bezzwrotna opłata 100/250/500 złota za czas wystawienia 24/48/72h.</t>
  </si>
  <si>
    <t xml:space="preserve">Kupno Oferty</t>
  </si>
  <si>
    <t xml:space="preserve">lockForUpdate, przekazanie przedmiotu/peta i waluty z potrąceniem 5% prowizji.</t>
  </si>
  <si>
    <t xml:space="preserve">Anulowanie Oferty</t>
  </si>
  <si>
    <t xml:space="preserve">Zwrot przedmiotu, opłata za wystawienie nie jest zwracana.</t>
  </si>
  <si>
    <t xml:space="preserve">Wygasanie Ofert (Job)</t>
  </si>
  <si>
    <t xml:space="preserve">Uruchamiany co godzinę, zwraca przedmioty pocztą systemową.</t>
  </si>
  <si>
    <t xml:space="preserve">Filtrowanie Rynku</t>
  </si>
  <si>
    <t xml:space="preserve">Filtr statystyk działa w logice AND, wyrażenie SQL zależne od silnika bazy.</t>
  </si>
  <si>
    <t xml:space="preserve">Potwierdzenie Zakupu (Modal)</t>
  </si>
  <si>
    <t xml:space="preserve">Dwuetapowy proces potwierdzenia chroniący przed przypadkowym zakupem.</t>
  </si>
  <si>
    <t xml:space="preserve">Wyświetlanie, Układ i Sesja</t>
  </si>
  <si>
    <t xml:space="preserve">Historia 10 minut, max 100 wiadomości, autoukrywanie po 2s bezczynności.</t>
  </si>
  <si>
    <t xml:space="preserve">Kanały Komunikacji</t>
  </si>
  <si>
    <t xml:space="preserve">Globalny (wszyscy) i Gildia (tylko członkowie).</t>
  </si>
  <si>
    <t xml:space="preserve">Wysyłanie Wiadomości i Komendy</t>
  </si>
  <si>
    <t xml:space="preserve">Limit 200 znaków, rate limit 1 wiad./2s, komendy /donate i GM.</t>
  </si>
  <si>
    <t xml:space="preserve">Format Wiadomości</t>
  </si>
  <si>
    <t xml:space="preserve">Ustandaryzowany format czasu, nadawcy i poziomu.</t>
  </si>
  <si>
    <t xml:space="preserve">Inspekcja Gracza i Zaproszenia</t>
  </si>
  <si>
    <t xml:space="preserve">Tooltip po kliknięciu nicku z profilem, ekwipunkiem i CP.</t>
  </si>
  <si>
    <t xml:space="preserve">Integracja z Discordem</t>
  </si>
  <si>
    <t xml:space="preserve">Dwukierunkowy relay (webhook + bot poll ~2s), nagroda 200 gemów za połączenie.</t>
  </si>
  <si>
    <t xml:space="preserve">Integracja Update-log</t>
  </si>
  <si>
    <t xml:space="preserve">Automatyczne parsowanie ogłoszeń Discord do tabeli news.</t>
  </si>
  <si>
    <t xml:space="preserve">Blokada Dostępu (poziom 10)</t>
  </si>
  <si>
    <t xml:space="preserve">Cały moduł wymaga 10 poziomu postaci, wyegzekwowane w 3 miejscach UI.</t>
  </si>
  <si>
    <t xml:space="preserve">Zarządzanie Gildią (Role)</t>
  </si>
  <si>
    <t xml:space="preserve">5 ról: leader/commander/elder/member/novice z różnymi uprawnieniami.</t>
  </si>
  <si>
    <t xml:space="preserve">Skarbiec i Magazyn Gildyjny</t>
  </si>
  <si>
    <t xml:space="preserve">Skarbiec EXP/złota/gemów z limitem, magazyn 20 slotów.</t>
  </si>
  <si>
    <t xml:space="preserve">Czat Gildii</t>
  </si>
  <si>
    <t xml:space="preserve">Prywatny kanał real-time z automatycznymi komunikatami o dotacjach.</t>
  </si>
  <si>
    <t xml:space="preserve">Zaproszenia (Mail System)</t>
  </si>
  <si>
    <t xml:space="preserve">Rekrutacja przez załącznik guild_invite w systemowej poczcie.</t>
  </si>
  <si>
    <t xml:space="preserve">Wojny Gildii (5v5)</t>
  </si>
  <si>
    <t xml:space="preserve">Jedno starcie drużynowe, focus fire, limit 40 rund, nagroda 50 żetonów areny.</t>
  </si>
  <si>
    <t xml:space="preserve">Premium Currency (Gemy)</t>
  </si>
  <si>
    <t xml:space="preserve">Waluta premium kupowana za realne pieniądze przez Stripe.</t>
  </si>
  <si>
    <t xml:space="preserve">Status Premium Account</t>
  </si>
  <si>
    <t xml:space="preserve">+20% EXP/Gold, plecak 32-&gt;64, +2 zestawy ekwipunku.</t>
  </si>
  <si>
    <t xml:space="preserve">Stripe Webhooks</t>
  </si>
  <si>
    <t xml:space="preserve">Asynchroniczna weryfikacja płatności przez checkout.session.completed.</t>
  </si>
  <si>
    <t xml:space="preserve">Zwoje Użytkowe i Resety</t>
  </si>
  <si>
    <t xml:space="preserve">4 zwoje (50/50/90/30 gemów) zamiast bezpośredniego resetu.</t>
  </si>
  <si>
    <t xml:space="preserve">Tabele Zrzutów (LootTable)</t>
  </si>
  <si>
    <t xml:space="preserve">Weighted Picker losuje łup wg wagi wpisów tabeli potwora.</t>
  </si>
  <si>
    <t xml:space="preserve">Generowanie Łupu (DropService)</t>
  </si>
  <si>
    <t xml:space="preserve">Złoto/gemy/materiały/przedmioty logowane w Ledgerach z idempotency_key.</t>
  </si>
  <si>
    <t xml:space="preserve">Balans Ekonomii Łupów (fix)</t>
  </si>
  <si>
    <t xml:space="preserve">Materiały waga x5, bezpośredni drop ekwipunku ustawiony na stałe 0.6%.</t>
  </si>
  <si>
    <t xml:space="preserve">Zabezpieczenia Ekonomiczne</t>
  </si>
  <si>
    <t xml:space="preserve">idempotency_key na bazie ID spotkania chroni przed dublowaniem łupu.</t>
  </si>
  <si>
    <t xml:space="preserve">World Boss bez Własnego Dropu</t>
  </si>
  <si>
    <t xml:space="preserve">Ograniczenie architektury - łup worldbossa przeniesiony na potwora rangi boss tej samej mapy.</t>
  </si>
  <si>
    <t xml:space="preserve">Walka Grupowa - Łup per Potwór (fix)</t>
  </si>
  <si>
    <t xml:space="preserve">Osobny rzut z karą 66% dla każdego z 3-4 pokonanych potworów.</t>
  </si>
  <si>
    <t xml:space="preserve">Model Mail i Załączniki</t>
  </si>
  <si>
    <t xml:space="preserve">Struktura JSON załączników (item/gold/gems), flaga claimed.</t>
  </si>
  <si>
    <t xml:space="preserve">Akcje Send/Claim</t>
  </si>
  <si>
    <t xml:space="preserve">SendMailAction i ClaimMailAction z idempotency_key przeciw duplikacji.</t>
  </si>
  <si>
    <t xml:space="preserve">Harmonogram Czyszczenia</t>
  </si>
  <si>
    <t xml:space="preserve">ExpireOldMailJob usuwa nieodebrane wiadomości starsze niż 90 dni.</t>
  </si>
  <si>
    <t xml:space="preserve">Kierunek Komunikacji</t>
  </si>
  <si>
    <t xml:space="preserve">Wyłącznie System -&gt; Gracz, brak P2P między graczami.</t>
  </si>
  <si>
    <t xml:space="preserve">Unifikacja NPC</t>
  </si>
  <si>
    <t xml:space="preserve">Scalenie Weaponsmith i Armorsmith w jednego Handlarza.</t>
  </si>
  <si>
    <t xml:space="preserve">Asortyment (MerchantItem)</t>
  </si>
  <si>
    <t xml:space="preserve">Tematyczne grupy rosnące co 10 poziomów (1-90), 6 typów broni + zbroja.</t>
  </si>
  <si>
    <t xml:space="preserve">Tiery wg Poziomu</t>
  </si>
  <si>
    <t xml:space="preserve">Dynamicznie wyliczane progi required_level bez hardkodowania.</t>
  </si>
  <si>
    <t xml:space="preserve">Filtr Slotu Ekwipunku</t>
  </si>
  <si>
    <t xml:space="preserve">7 kategorii filtra (broń/zbroja/hełm/buty/naszyjnik/pierścień/wszystko).</t>
  </si>
  <si>
    <t xml:space="preserve">Kupno i Sprzedaż</t>
  </si>
  <si>
    <t xml:space="preserve">ShopService::buyItem/sellItem/sellMultipleItems bez zmian logiki.</t>
  </si>
  <si>
    <t xml:space="preserve">Punkt Zaczepienia Samouczka</t>
  </si>
  <si>
    <t xml:space="preserve">Kroki 17-20 samouczka prowadzą do zakupu pierwszej broni.</t>
  </si>
  <si>
    <t xml:space="preserve">Odblokowanie i Dostęp</t>
  </si>
  <si>
    <t xml:space="preserve">Poziom 30 + wykupiony dostęp (5 000 000 złota lub 200 gemów / 7 dni).</t>
  </si>
  <si>
    <t xml:space="preserve">Model Danych Tempa</t>
  </si>
  <si>
    <t xml:space="preserve">max_exp_per_minute/max_gold_per_minute aktualizowane po walkach &gt;=15s.</t>
  </si>
  <si>
    <t xml:space="preserve">MirrorService</t>
  </si>
  <si>
    <t xml:space="preserve">Sesje 1-6h (1-10h Premium), odbiór 40% zaobserwowanego tempa.</t>
  </si>
  <si>
    <t xml:space="preserve">UI Lustra</t>
  </si>
  <si>
    <t xml:space="preserve">Selektor mapy/czasu, baner aktywnej sesji w Hubie, badge nawigacji.</t>
  </si>
  <si>
    <t xml:space="preserve">Wątek Samouczka</t>
  </si>
  <si>
    <t xml:space="preserve">Odblokowanie Lustra na 30 poziomie opisane w etapach game_stage 40-43.</t>
  </si>
  <si>
    <t xml:space="preserve">Tiery</t>
  </si>
  <si>
    <t xml:space="preserve">6 tierów zastępujących dawne 5 rzadkości, każdy z czasem wyklucia i normą.</t>
  </si>
  <si>
    <t xml:space="preserve">Inkubacja i Wykluwanie</t>
  </si>
  <si>
    <t xml:space="preserve">Losowanie tieru wynikowego z macierzy szans (hatch_matrix).</t>
  </si>
  <si>
    <t xml:space="preserve">Gatunki i Archetypy</t>
  </si>
  <si>
    <t xml:space="preserve">18 gatunków = 3 archetypy x 6 tierów, determinują pasywkę bojową.</t>
  </si>
  <si>
    <t xml:space="preserve">Etapy Wzrostu (Growth Stage)</t>
  </si>
  <si>
    <t xml:space="preserve">4 stopnie dojrzałości (0-3) wg progów poziomowych (1/25/50/75).</t>
  </si>
  <si>
    <t xml:space="preserve">Fuzja</t>
  </si>
  <si>
    <t xml:space="preserve">Łączy 2 pety tego samego tieru, szansa bazowa + bonus dojrzałości.</t>
  </si>
  <si>
    <t xml:space="preserve">Licznik Fuzji (fusion_count)</t>
  </si>
  <si>
    <t xml:space="preserve">+10% do puli staty i +10% do wymaganego EXP za każdy punkt fuzji.</t>
  </si>
  <si>
    <t xml:space="preserve">Pasywka Archetypu</t>
  </si>
  <si>
    <t xml:space="preserve">Bonus bojowy = fusion_count * bonus_per_point * tier, aktywny w 4 silnikach walki.</t>
  </si>
  <si>
    <t xml:space="preserve">Norma Poziomowa i Statystyki</t>
  </si>
  <si>
    <t xml:space="preserve">Pula staty = poziom*2.35 * norma_tieru * (1+fusionCount*0.10).</t>
  </si>
  <si>
    <t xml:space="preserve">Karmienie (Leveling)</t>
  </si>
  <si>
    <t xml:space="preserve">EXP z przedmiotu wg poziomu wymagań i mnożnika rzadkości.</t>
  </si>
  <si>
    <t xml:space="preserve">Tłumienie Mocy wg Poziomu Postaci</t>
  </si>
  <si>
    <t xml:space="preserve">Wkład do staty tłumiony proporcjonalnie gdy pet &gt; poziom postaci.</t>
  </si>
  <si>
    <t xml:space="preserve">Ekwipunek Peta</t>
  </si>
  <si>
    <t xml:space="preserve">2 sloty (obroża/charm) niezależne od 6 slotów postaci.</t>
  </si>
  <si>
    <t xml:space="preserve">Handel Chowańcami (Rynek)</t>
  </si>
  <si>
    <t xml:space="preserve">Pety wystawiane na tym samym Rynku co przedmioty, bez ograniczenia poziomem.</t>
  </si>
  <si>
    <t xml:space="preserve">Aktywny Towarzysz</t>
  </si>
  <si>
    <t xml:space="preserve">Tylko 1 pet naraz dolicza staty/CP do postaci.</t>
  </si>
  <si>
    <t xml:space="preserve">UI Profilu</t>
  </si>
  <si>
    <t xml:space="preserve">Pasek XP, 6 slotów ekwipunku, edycja awatara.</t>
  </si>
  <si>
    <t xml:space="preserve">Equip/Unequip</t>
  </si>
  <si>
    <t xml:space="preserve">Drag&amp;Drop oraz double-click do zakładania/zdejmowania przedmiotów.</t>
  </si>
  <si>
    <t xml:space="preserve">Limity Plecaka i Magazyn</t>
  </si>
  <si>
    <t xml:space="preserve">Plecak 32/64 slotów, magazyn 2 sloty + 50 gemów za dodatkowy.</t>
  </si>
  <si>
    <t xml:space="preserve">Rozwój Atrybutów</t>
  </si>
  <si>
    <t xml:space="preserve">3 punkty postaci za poziom, reset za 50 gemów, budżet do 304 pkt na max poziomie.</t>
  </si>
  <si>
    <t xml:space="preserve">Zestawy Ekwipunku</t>
  </si>
  <si>
    <t xml:space="preserve">5 zestawów (pvp/guild_war/set1-3), set_2/set_3 wymagają Premium.</t>
  </si>
  <si>
    <t xml:space="preserve">Zakładka Lustro (stan UI)</t>
  </si>
  <si>
    <t xml:space="preserve">Blokada do 30 poziomu i do momentu wykupienia dostępu.</t>
  </si>
  <si>
    <t xml:space="preserve">Snapshoty (Widma Graczy)</t>
  </si>
  <si>
    <t xml:space="preserve">Zamrożone statystyki pozwalają walczyć z graczem offline.</t>
  </si>
  <si>
    <t xml:space="preserve">System ELO, Ligi i Pojemność Prób</t>
  </si>
  <si>
    <t xml:space="preserve">Poziom 15, max 3 próby, regeneracja +1/h, 4 rangi ligowe.</t>
  </si>
  <si>
    <t xml:space="preserve">Żetony Areny i Sklep Gladiatora</t>
  </si>
  <si>
    <t xml:space="preserve">Waluta poboczna wymienna u NPC Gladiatora.</t>
  </si>
  <si>
    <t xml:space="preserve">Wojny Gildii (opis ogólny)</t>
  </si>
  <si>
    <t xml:space="preserve">Parowanie najsilniejszy-vs-najsilniejszy, nagroda dla top 5 zwycięskiej drużyny.</t>
  </si>
  <si>
    <t xml:space="preserve">Podgląd Ekwipunku Areny (UI)</t>
  </si>
  <si>
    <t xml:space="preserve">Panel 6 slotów ekwipunku przeciwnika spójny z realną walką.</t>
  </si>
  <si>
    <t xml:space="preserve">Rodzaje Misji</t>
  </si>
  <si>
    <t xml:space="preserve">Hunting, Gathering, Action (w planach) - 3 typy misji.</t>
  </si>
  <si>
    <t xml:space="preserve">Cykl Życia Questu</t>
  </si>
  <si>
    <t xml:space="preserve">Available -&gt; Active -&gt; Completed -&gt; Rewarded (maszyna stanów).</t>
  </si>
  <si>
    <t xml:space="preserve">Architektura i Baza Danych</t>
  </si>
  <si>
    <t xml:space="preserve">Tabele quests (słownik) i character_quests (progres).</t>
  </si>
  <si>
    <t xml:space="preserve">Nasłuchiwanie Postępów</t>
  </si>
  <si>
    <t xml:space="preserve">Asynchroniczna aktualizacja progresu z powiadomieniami toast.</t>
  </si>
  <si>
    <t xml:space="preserve">Głośność Dźwięku</t>
  </si>
  <si>
    <t xml:space="preserve">3 kategorie (sfx/levelup/combat), wartości 0-100 w localStorage.</t>
  </si>
  <si>
    <t xml:space="preserve">Powiadomienia o Osiągnięciach/Questach</t>
  </si>
  <si>
    <t xml:space="preserve">Toggle wpływa tylko na widoczność toastu, progres zawsze zapisywany.</t>
  </si>
  <si>
    <t xml:space="preserve">Punkty Umiejętności</t>
  </si>
  <si>
    <t xml:space="preserve">3 punkty za poziom, max poziom skilla 5.</t>
  </si>
  <si>
    <t xml:space="preserve">Deck Umiejętności i Wyposażanie</t>
  </si>
  <si>
    <t xml:space="preserve">Maksymalnie 3 aktywne skille wyposażone jednocześnie.</t>
  </si>
  <si>
    <t xml:space="preserve">Filtrowanie Listy Skilli</t>
  </si>
  <si>
    <t xml:space="preserve">3 niezależne filtry: broń/typ/kategoria, łączone logiką AND.</t>
  </si>
  <si>
    <t xml:space="preserve">Wymagania Broni</t>
  </si>
  <si>
    <t xml:space="preserve">Skill nieaktywny bez wyposażonej broni wymaganego typu.</t>
  </si>
  <si>
    <t xml:space="preserve">Działanie Skilli w Walce</t>
  </si>
  <si>
    <t xml:space="preserve">Koszt many = base + (poziom-1)*scaling, 12 typów efektów.</t>
  </si>
  <si>
    <t xml:space="preserve">Panel Administracyjny</t>
  </si>
  <si>
    <t xml:space="preserve">GUI do tworzenia/edycji skilli i przypisywania ikon.</t>
  </si>
  <si>
    <t xml:space="preserve">Umiejętności Obszarowe (AoE)</t>
  </si>
  <si>
    <t xml:space="preserve">is_aoe trafia wszystkich żywych przeciwników w starciu grupowym.</t>
  </si>
  <si>
    <t xml:space="preserve">Zamrożenie / Ogłuszenie (CC)</t>
  </si>
  <si>
    <t xml:space="preserve">Odbiera celowi base_duration tur ataku, różne zasady uniku PvE/PvP.</t>
  </si>
  <si>
    <t xml:space="preserve">Parytet PvE/PvP/GvG</t>
  </si>
  <si>
    <t xml:space="preserve">3 osobne, zduplikowane silniki wymagające ręcznej synchronizacji balansu.</t>
  </si>
  <si>
    <t xml:space="preserve">Flow Rejestracji i Logowania</t>
  </si>
  <si>
    <t xml:space="preserve">Przekierowanie OAuth2, callback, tworzenie/łączenie konta.</t>
  </si>
  <si>
    <t xml:space="preserve">Wymuszenie Dokończenia Konfiguracji</t>
  </si>
  <si>
    <t xml:space="preserve">Modal blokuje UI dopóki gracz nie ustawi unikalnego nicku.</t>
  </si>
  <si>
    <t xml:space="preserve">Struktura Bazy Danych</t>
  </si>
  <si>
    <t xml:space="preserve">Kolumny auth_provider, is_social_setup_pending i dane demograficzne.</t>
  </si>
  <si>
    <t xml:space="preserve">Architektura (game_stage)</t>
  </si>
  <si>
    <t xml:space="preserve">Postęp przypisany do User, nie do Character.</t>
  </si>
  <si>
    <t xml:space="preserve">Główne Komponenty</t>
  </si>
  <si>
    <t xml:space="preserve">TutorialOverlay z parametrami nagród i eventem tutorial-completed.</t>
  </si>
  <si>
    <t xml:space="preserve">Przebieg Wstępnego Treningu</t>
  </si>
  <si>
    <t xml:space="preserve">Etapy game_stage 0-43 z progami poziomowymi 5/10/15/30.</t>
  </si>
  <si>
    <t xml:space="preserve">Anti-Softlock</t>
  </si>
  <si>
    <t xml:space="preserve">Automatyczne przeskakiwanie zbędnych etapów dla szybkich graczy.</t>
  </si>
  <si>
    <t xml:space="preserve">Dioda Oczekującego Dymku</t>
  </si>
  <si>
    <t xml:space="preserve">Pulsujący znacznik w nawigacji sygnalizujący czekający dialog Kapitana.</t>
  </si>
  <si>
    <t xml:space="preserve">Interfejs Kowala</t>
  </si>
  <si>
    <t xml:space="preserve">Ulepszanie broni (main_hand) i zbroi (head/chest/feet) w jednym widoku.</t>
  </si>
  <si>
    <t xml:space="preserve">Proces Ulepszania</t>
  </si>
  <si>
    <t xml:space="preserve">Poziomy +0 do +9, szansa spada z ok. 95% na starcie do znacznie niższej.</t>
  </si>
  <si>
    <t xml:space="preserve">Skutki i Porażki</t>
  </si>
  <si>
    <t xml:space="preserve">Sukces: +10% staty bazowej za poziom. Porażka: tylko utrata surowców.</t>
  </si>
  <si>
    <t xml:space="preserve">Kategorie Rankingów</t>
  </si>
  <si>
    <t xml:space="preserve">6 kategorii rywalizacji zbieranych cały tydzień (pon-nd).</t>
  </si>
  <si>
    <t xml:space="preserve">Nagrody</t>
  </si>
  <si>
    <t xml:space="preserve">300/250/200/100 gemów za miejsca 1/2/3/4-10.</t>
  </si>
  <si>
    <t xml:space="preserve">Atomowy Upsert</t>
  </si>
  <si>
    <t xml:space="preserve">INSERT...ON CONFLICT DO UPDATE bezpieczny przy równoległych żądaniach.</t>
  </si>
  <si>
    <t xml:space="preserve">Harmonogram</t>
  </si>
  <si>
    <t xml:space="preserve">Reset i nagrody co poniedziałek 00:01, historia 4 tygodnie.</t>
  </si>
  <si>
    <t xml:space="preserve">Sklep Alchemiczny</t>
  </si>
  <si>
    <t xml:space="preserve">Mikstura EXP +20% raz na dobę (cooldown), reszta wg MerchantItem.</t>
  </si>
  <si>
    <t xml:space="preserve">System Warzenia i Rzemiosła</t>
  </si>
  <si>
    <t xml:space="preserve">CraftingService z 5-stopniową losową rzadkością (70/20/8/1.9/0.1%).</t>
  </si>
  <si>
    <t xml:space="preserve">Zarządzanie recepturami i asortymentem Handlarzy bez kodu.</t>
  </si>
  <si>
    <t xml:space="preserve">Elementy UI (zakładki)</t>
  </si>
  <si>
    <t xml:space="preserve">shop/crafting/enchant/mirror - w tym mikstury S/M/L (5/10/15% na 1/3/6h).</t>
  </si>
  <si>
    <t xml:space="preserve">Interfejs Czarodzieja</t>
  </si>
  <si>
    <t xml:space="preserve">Zaklinanie broni, pancerzy i biżuterii, wizualne oznaczenie posiadanych bonusów.</t>
  </si>
  <si>
    <t xml:space="preserve">Zaklinanie (Enchanting)</t>
  </si>
  <si>
    <t xml:space="preserve">Do 5 bonusów, szansa 75/50/40/30/20% malejąca z każdym kolejnym.</t>
  </si>
  <si>
    <t xml:space="preserve">Pule Bonusów i Typy</t>
  </si>
  <si>
    <t xml:space="preserve">Osobne pule dla broni/zbroi/biżuterii, w tym strong_vs_hero (5-20%).</t>
  </si>
  <si>
    <t xml:space="preserve">Reroll (Przelosowanie)</t>
  </si>
  <si>
    <t xml:space="preserve">Blokada slotu podwaja koszt (x2^liczba_blokad), Switchbot 300/150ms.</t>
  </si>
  <si>
    <t xml:space="preserve">Ekonomia i Waluty</t>
  </si>
  <si>
    <t xml:space="preserve">Wybór zapłaty Złotem lub Gemami, natychmiastowe rozliczenie na balansie.</t>
  </si>
  <si>
    <t xml:space="preserve">Kluczowe Cechy</t>
  </si>
  <si>
    <t xml:space="preserve">3 aktywni bossowie naraz (low/mid/high), pula HP bez regeneracji.</t>
  </si>
  <si>
    <t xml:space="preserve">Przydział Bossów do Przedziałów</t>
  </si>
  <si>
    <t xml:space="preserve">8 world bossów rozdzielonych na 3 przedziały poziomowe.</t>
  </si>
  <si>
    <t xml:space="preserve">Architektura Systemu</t>
  </si>
  <si>
    <t xml:space="preserve">WorldBossInstance, WorldBossDamageLog, WorldBossService.</t>
  </si>
  <si>
    <t xml:space="preserve">Zadania Cykliczne (Cron)</t>
  </si>
  <si>
    <t xml:space="preserve">Tick bezpieczeństwa + hourly WorldBossRewardJob (bez ShouldQueue).</t>
  </si>
  <si>
    <t xml:space="preserve">Cykl Życia World Bossa</t>
  </si>
  <si>
    <t xml:space="preserve">Spawn -&gt; Ataki -&gt; (opcjonalnie) Pokonanie -&gt; Rozliczenie co godzinę.</t>
  </si>
  <si>
    <t xml:space="preserve">Stan Pokonany</t>
  </si>
  <si>
    <t xml:space="preserve">current_hp &lt;= 0 blokuje dalsze ataki aż do resetu godzinowego.</t>
  </si>
  <si>
    <t xml:space="preserve">Gemy i klucze do lochów wg miejsca w rankingu Top 10.</t>
  </si>
  <si>
    <t xml:space="preserve">Każda wartość liczbowa (limit, szansa, koszt, formuła) wyekstrahowana z dokumentacji</t>
  </si>
  <si>
    <t xml:space="preserve">Mechanika</t>
  </si>
  <si>
    <t xml:space="preserve">Parametr</t>
  </si>
  <si>
    <t xml:space="preserve">Wartość</t>
  </si>
  <si>
    <t xml:space="preserve">Jednostka / Zakres</t>
  </si>
  <si>
    <t xml:space="preserve">Uwagi</t>
  </si>
  <si>
    <t xml:space="preserve">Tworzenie postaci</t>
  </si>
  <si>
    <t xml:space="preserve">Maksymalna liczba postaci na konto</t>
  </si>
  <si>
    <t xml:space="preserve">4</t>
  </si>
  <si>
    <t xml:space="preserve">szt.</t>
  </si>
  <si>
    <t xml:space="preserve">Twardy limit na konto</t>
  </si>
  <si>
    <t xml:space="preserve">Punkty początkowe do rozdania</t>
  </si>
  <si>
    <t xml:space="preserve">pkt</t>
  </si>
  <si>
    <t xml:space="preserve">Na 4 atrybuty: STR/INT/VIT/AGI</t>
  </si>
  <si>
    <t xml:space="preserve">Zakres atrybutu startowego</t>
  </si>
  <si>
    <t xml:space="preserve">0-10</t>
  </si>
  <si>
    <t xml:space="preserve">pkt/atrybut</t>
  </si>
  <si>
    <t xml:space="preserve">Losowanie początkowe</t>
  </si>
  <si>
    <t xml:space="preserve">Punkty postaci za poziom</t>
  </si>
  <si>
    <t xml:space="preserve">3</t>
  </si>
  <si>
    <t xml:space="preserve">pkt/poziom</t>
  </si>
  <si>
    <t xml:space="preserve">character_points</t>
  </si>
  <si>
    <t xml:space="preserve">Maksymalny poziom postaci</t>
  </si>
  <si>
    <t xml:space="preserve">99</t>
  </si>
  <si>
    <t xml:space="preserve">poziom</t>
  </si>
  <si>
    <t xml:space="preserve">LevelUpService::MAX_LEVEL</t>
  </si>
  <si>
    <t xml:space="preserve">Budżet punktów postaci na poz. 99</t>
  </si>
  <si>
    <t xml:space="preserve">304</t>
  </si>
  <si>
    <t xml:space="preserve">10 + 98*3</t>
  </si>
  <si>
    <t xml:space="preserve">Symulacja walki</t>
  </si>
  <si>
    <t xml:space="preserve">Maksymalna liczba tur</t>
  </si>
  <si>
    <t xml:space="preserve">50</t>
  </si>
  <si>
    <t xml:space="preserve">tur</t>
  </si>
  <si>
    <t xml:space="preserve">Trafienie krytyczne</t>
  </si>
  <si>
    <t xml:space="preserve">Szansa za punkt AGI</t>
  </si>
  <si>
    <t xml:space="preserve">0.15</t>
  </si>
  <si>
    <t xml:space="preserve">%/pkt AGI</t>
  </si>
  <si>
    <t xml:space="preserve">Hard cap - gracz</t>
  </si>
  <si>
    <t xml:space="preserve">100</t>
  </si>
  <si>
    <t xml:space="preserve">%</t>
  </si>
  <si>
    <t xml:space="preserve">Hard cap - potwór</t>
  </si>
  <si>
    <t xml:space="preserve">Mnożnik obrażeń</t>
  </si>
  <si>
    <t xml:space="preserve">1.5</t>
  </si>
  <si>
    <t xml:space="preserve">x</t>
  </si>
  <si>
    <t xml:space="preserve">Unik (dodge)</t>
  </si>
  <si>
    <t xml:space="preserve">Hard cap uniku</t>
  </si>
  <si>
    <t xml:space="preserve">Gracz i potwór</t>
  </si>
  <si>
    <t xml:space="preserve">Obrażenia</t>
  </si>
  <si>
    <t xml:space="preserve">Redukcja za punkt obrony</t>
  </si>
  <si>
    <t xml:space="preserve">0.2</t>
  </si>
  <si>
    <t xml:space="preserve">dmg/pkt DEF</t>
  </si>
  <si>
    <t xml:space="preserve">Skalowanie potworów</t>
  </si>
  <si>
    <t xml:space="preserve">Wzrost staty za poziom różnicy</t>
  </si>
  <si>
    <t xml:space="preserve">%/poziom</t>
  </si>
  <si>
    <t xml:space="preserve">multiplier = 1+(diff*0.10)</t>
  </si>
  <si>
    <t xml:space="preserve">HP gracza</t>
  </si>
  <si>
    <t xml:space="preserve">Baza HP</t>
  </si>
  <si>
    <t xml:space="preserve">100 + VIT*15 + poziom*5</t>
  </si>
  <si>
    <t xml:space="preserve">HP za punkt VIT</t>
  </si>
  <si>
    <t xml:space="preserve">pkt/VIT</t>
  </si>
  <si>
    <t xml:space="preserve">HP za poziom</t>
  </si>
  <si>
    <t xml:space="preserve">Mana gracza</t>
  </si>
  <si>
    <t xml:space="preserve">Baza many</t>
  </si>
  <si>
    <t xml:space="preserve">50 + INT*10 + poziom*3</t>
  </si>
  <si>
    <t xml:space="preserve">Mana za punkt INT</t>
  </si>
  <si>
    <t xml:space="preserve">pkt/INT</t>
  </si>
  <si>
    <t xml:space="preserve">Mana za poziom</t>
  </si>
  <si>
    <t xml:space="preserve">Rasy potworów</t>
  </si>
  <si>
    <t xml:space="preserve">Liczba głównych ras</t>
  </si>
  <si>
    <t xml:space="preserve">6</t>
  </si>
  <si>
    <t xml:space="preserve">undead/demon/animal/orc/troll/mystical</t>
  </si>
  <si>
    <t xml:space="preserve">Otrucie z procka (afiks)</t>
  </si>
  <si>
    <t xml:space="preserve">Czas trwania</t>
  </si>
  <si>
    <t xml:space="preserve">tury</t>
  </si>
  <si>
    <t xml:space="preserve">Obrażenia na turę</t>
  </si>
  <si>
    <t xml:space="preserve">% aktualnego HP</t>
  </si>
  <si>
    <t xml:space="preserve">Słabsze niż najsłabszy skill</t>
  </si>
  <si>
    <t xml:space="preserve">Ogłuszenie z procka (afiks)</t>
  </si>
  <si>
    <t xml:space="preserve">1</t>
  </si>
  <si>
    <t xml:space="preserve">tura</t>
  </si>
  <si>
    <t xml:space="preserve">Afiksy poison_chance/stun_chance</t>
  </si>
  <si>
    <t xml:space="preserve">Zakres na broni/pancerzu</t>
  </si>
  <si>
    <t xml:space="preserve">1-7</t>
  </si>
  <si>
    <t xml:space="preserve">Afiks strong_vs_hero</t>
  </si>
  <si>
    <t xml:space="preserve">Zakres bonusu (PvP/GvG)</t>
  </si>
  <si>
    <t xml:space="preserve">5-20</t>
  </si>
  <si>
    <t xml:space="preserve">Miecz - Podwójny Cios</t>
  </si>
  <si>
    <t xml:space="preserve">Moc drugiego ciosu</t>
  </si>
  <si>
    <t xml:space="preserve">% głównego ciosu</t>
  </si>
  <si>
    <t xml:space="preserve">double_strike_chance</t>
  </si>
  <si>
    <t xml:space="preserve">Anti-cheat</t>
  </si>
  <si>
    <t xml:space="preserve">Min. czas między walkami</t>
  </si>
  <si>
    <t xml:space="preserve">1300</t>
  </si>
  <si>
    <t xml:space="preserve">ms</t>
  </si>
  <si>
    <t xml:space="preserve">Rate limit backend</t>
  </si>
  <si>
    <t xml:space="preserve">Auto-Chain</t>
  </si>
  <si>
    <t xml:space="preserve">Opóźnienie po wygranej</t>
  </si>
  <si>
    <t xml:space="preserve">700</t>
  </si>
  <si>
    <t xml:space="preserve">Kara czasowa po przegranej</t>
  </si>
  <si>
    <t xml:space="preserve">3000</t>
  </si>
  <si>
    <t xml:space="preserve">Walka grupowa (over-level)</t>
  </si>
  <si>
    <t xml:space="preserve">Liczba potworów naraz</t>
  </si>
  <si>
    <t xml:space="preserve">3-4</t>
  </si>
  <si>
    <t xml:space="preserve">Kara do sumy nagród</t>
  </si>
  <si>
    <t xml:space="preserve">-66 (x0.33)</t>
  </si>
  <si>
    <t xml:space="preserve">Bonus obrażeń (S/M/L)</t>
  </si>
  <si>
    <t xml:space="preserve">5 / 10 / 15</t>
  </si>
  <si>
    <t xml:space="preserve">Czas trwania (S/M/L)</t>
  </si>
  <si>
    <t xml:space="preserve">1 / 3 / 6</t>
  </si>
  <si>
    <t xml:space="preserve">h</t>
  </si>
  <si>
    <t xml:space="preserve">Wojna Gildii</t>
  </si>
  <si>
    <t xml:space="preserve">Limit rund starcia</t>
  </si>
  <si>
    <t xml:space="preserve">40</t>
  </si>
  <si>
    <t xml:space="preserve">rund</t>
  </si>
  <si>
    <t xml:space="preserve">Rozmiar drużyny wojennej</t>
  </si>
  <si>
    <t xml:space="preserve">postaci</t>
  </si>
  <si>
    <t xml:space="preserve">Klucze / Multi-Dungeon</t>
  </si>
  <si>
    <t xml:space="preserve">Mnożniki wypraw</t>
  </si>
  <si>
    <t xml:space="preserve">1x / 3x / 5x</t>
  </si>
  <si>
    <t xml:space="preserve">krotność kluczy</t>
  </si>
  <si>
    <t xml:space="preserve">Skalowanie trudności Multi</t>
  </si>
  <si>
    <t xml:space="preserve">Staty potworów przy 1x/3x/5x</t>
  </si>
  <si>
    <t xml:space="preserve">100 / 135 / 170</t>
  </si>
  <si>
    <t xml:space="preserve">Gwarantowany drop skrzyń bossa</t>
  </si>
  <si>
    <t xml:space="preserve">Szansa dropu</t>
  </si>
  <si>
    <t xml:space="preserve">Liczba skrzyń przy 1x</t>
  </si>
  <si>
    <t xml:space="preserve">1-3</t>
  </si>
  <si>
    <t xml:space="preserve">mt_rand(1,3)</t>
  </si>
  <si>
    <t xml:space="preserve">Liczba skrzyń przy 5x</t>
  </si>
  <si>
    <t xml:space="preserve">5-15</t>
  </si>
  <si>
    <t xml:space="preserve">Przykład z dokumentacji</t>
  </si>
  <si>
    <t xml:space="preserve">Opłata za wystawienie oferty</t>
  </si>
  <si>
    <t xml:space="preserve">24h</t>
  </si>
  <si>
    <t xml:space="preserve">złota</t>
  </si>
  <si>
    <t xml:space="preserve">Bezzwrotna</t>
  </si>
  <si>
    <t xml:space="preserve">48h</t>
  </si>
  <si>
    <t xml:space="preserve">250</t>
  </si>
  <si>
    <t xml:space="preserve">72h</t>
  </si>
  <si>
    <t xml:space="preserve">500</t>
  </si>
  <si>
    <t xml:space="preserve">Kupno oferty</t>
  </si>
  <si>
    <t xml:space="preserve">Prowizja systemowa</t>
  </si>
  <si>
    <t xml:space="preserve">Potrącana sprzedającemu</t>
  </si>
  <si>
    <t xml:space="preserve">Wygasanie ofert (Job)</t>
  </si>
  <si>
    <t xml:space="preserve">Częstotliwość uruchomienia</t>
  </si>
  <si>
    <t xml:space="preserve">co 1</t>
  </si>
  <si>
    <t xml:space="preserve">godzinę</t>
  </si>
  <si>
    <t xml:space="preserve">ExpireMarketListingsJob</t>
  </si>
  <si>
    <t xml:space="preserve">Status Premium</t>
  </si>
  <si>
    <t xml:space="preserve">Bonus EXP i Gold</t>
  </si>
  <si>
    <t xml:space="preserve">+20</t>
  </si>
  <si>
    <t xml:space="preserve">Z walk PvE</t>
  </si>
  <si>
    <t xml:space="preserve">Pojemność plecaka</t>
  </si>
  <si>
    <t xml:space="preserve">32 -&gt; 64</t>
  </si>
  <si>
    <t xml:space="preserve">slotów</t>
  </si>
  <si>
    <t xml:space="preserve">Dodatkowe zestawy ekwipunku</t>
  </si>
  <si>
    <t xml:space="preserve">+2</t>
  </si>
  <si>
    <t xml:space="preserve">zestawy</t>
  </si>
  <si>
    <t xml:space="preserve">Set II i Set III</t>
  </si>
  <si>
    <t xml:space="preserve">Zwój Resetu Umiejętności</t>
  </si>
  <si>
    <t xml:space="preserve">Koszt</t>
  </si>
  <si>
    <t xml:space="preserve">gemów</t>
  </si>
  <si>
    <t xml:space="preserve">Zwój Resetu Atrybutów</t>
  </si>
  <si>
    <t xml:space="preserve">Zwój Pełnego Resetu</t>
  </si>
  <si>
    <t xml:space="preserve">90</t>
  </si>
  <si>
    <t xml:space="preserve">Zwój Areny Walki</t>
  </si>
  <si>
    <t xml:space="preserve">+1 próba Areny</t>
  </si>
  <si>
    <t xml:space="preserve">Waga dropu materiałów</t>
  </si>
  <si>
    <t xml:space="preserve">Mnożnik</t>
  </si>
  <si>
    <t xml:space="preserve">x5 (+400%)</t>
  </si>
  <si>
    <t xml:space="preserve">waga</t>
  </si>
  <si>
    <t xml:space="preserve">Waga dropu przedmiotów (mapy)</t>
  </si>
  <si>
    <t xml:space="preserve">Szansa</t>
  </si>
  <si>
    <t xml:space="preserve">0.6</t>
  </si>
  <si>
    <t xml:space="preserve">Ustawiona na stałe</t>
  </si>
  <si>
    <t xml:space="preserve">Walka grupowa - łup per potwór</t>
  </si>
  <si>
    <t xml:space="preserve">Kara na brak dropu</t>
  </si>
  <si>
    <t xml:space="preserve">66</t>
  </si>
  <si>
    <t xml:space="preserve">% (per potwór)</t>
  </si>
  <si>
    <t xml:space="preserve">Czyszczenie poczty (Job)</t>
  </si>
  <si>
    <t xml:space="preserve">Próg wieku wiadomości</t>
  </si>
  <si>
    <t xml:space="preserve">dni</t>
  </si>
  <si>
    <t xml:space="preserve">ExpireOldMailJob</t>
  </si>
  <si>
    <t xml:space="preserve">Tiery asortymentu</t>
  </si>
  <si>
    <t xml:space="preserve">Progi poziomowe</t>
  </si>
  <si>
    <t xml:space="preserve">1,10,20,30,40,50,60,70,80,90</t>
  </si>
  <si>
    <t xml:space="preserve">Asortyment na tier</t>
  </si>
  <si>
    <t xml:space="preserve">Liczba typów broni</t>
  </si>
  <si>
    <t xml:space="preserve">miecz/topór/łuk/różdżka/sztylet/dzwon</t>
  </si>
  <si>
    <t xml:space="preserve">Sklep Gladiatora</t>
  </si>
  <si>
    <t xml:space="preserve">55</t>
  </si>
  <si>
    <t xml:space="preserve">Osobny NPC</t>
  </si>
  <si>
    <t xml:space="preserve">Filtr slotu</t>
  </si>
  <si>
    <t xml:space="preserve">Liczba kategorii filtra</t>
  </si>
  <si>
    <t xml:space="preserve">7</t>
  </si>
  <si>
    <t xml:space="preserve">z 'Wszystko'</t>
  </si>
  <si>
    <t xml:space="preserve">Odblokowanie</t>
  </si>
  <si>
    <t xml:space="preserve">Zakup dostępu</t>
  </si>
  <si>
    <t xml:space="preserve">Koszt w złocie</t>
  </si>
  <si>
    <t xml:space="preserve">5 000 000</t>
  </si>
  <si>
    <t xml:space="preserve">Za 7 dni</t>
  </si>
  <si>
    <t xml:space="preserve">Koszt w gemach</t>
  </si>
  <si>
    <t xml:space="preserve">200</t>
  </si>
  <si>
    <t xml:space="preserve">Czas dostępu</t>
  </si>
  <si>
    <t xml:space="preserve">Doliczane do istniejącego</t>
  </si>
  <si>
    <t xml:space="preserve">Sesja</t>
  </si>
  <si>
    <t xml:space="preserve">Czas trwania (zwykły gracz)</t>
  </si>
  <si>
    <t xml:space="preserve">1-6</t>
  </si>
  <si>
    <t xml:space="preserve">Czas trwania (Premium)</t>
  </si>
  <si>
    <t xml:space="preserve">1-10</t>
  </si>
  <si>
    <t xml:space="preserve">Odbiór nagród</t>
  </si>
  <si>
    <t xml:space="preserve">% zaobserwowanego tempa</t>
  </si>
  <si>
    <t xml:space="preserve">Materiały</t>
  </si>
  <si>
    <t xml:space="preserve">Częstotliwość rzutu</t>
  </si>
  <si>
    <t xml:space="preserve">co 15</t>
  </si>
  <si>
    <t xml:space="preserve">minut</t>
  </si>
  <si>
    <t xml:space="preserve">Aktualizacja tempa</t>
  </si>
  <si>
    <t xml:space="preserve">Minimalny czas walki</t>
  </si>
  <si>
    <t xml:space="preserve">sekund</t>
  </si>
  <si>
    <t xml:space="preserve">Plecak</t>
  </si>
  <si>
    <t xml:space="preserve">Zwykły limit</t>
  </si>
  <si>
    <t xml:space="preserve">32</t>
  </si>
  <si>
    <t xml:space="preserve">Limit Premium</t>
  </si>
  <si>
    <t xml:space="preserve">64</t>
  </si>
  <si>
    <t xml:space="preserve">Magazyn gracza</t>
  </si>
  <si>
    <t xml:space="preserve">Domyślne sloty</t>
  </si>
  <si>
    <t xml:space="preserve">2</t>
  </si>
  <si>
    <t xml:space="preserve">Wspólne dla wszystkich postaci</t>
  </si>
  <si>
    <t xml:space="preserve">Koszt dodatkowego slotu</t>
  </si>
  <si>
    <t xml:space="preserve">Rozwój atrybutów</t>
  </si>
  <si>
    <t xml:space="preserve">Punkty za poziom</t>
  </si>
  <si>
    <t xml:space="preserve">Reset atrybutów</t>
  </si>
  <si>
    <t xml:space="preserve">Sklep Premium</t>
  </si>
  <si>
    <t xml:space="preserve">Zestaw klasowy (poz. 5)</t>
  </si>
  <si>
    <t xml:space="preserve">Punkty atrybutu</t>
  </si>
  <si>
    <t xml:space="preserve">12</t>
  </si>
  <si>
    <t xml:space="preserve">Tier najniższy</t>
  </si>
  <si>
    <t xml:space="preserve">Zestaw klasowy (poz. 85)</t>
  </si>
  <si>
    <t xml:space="preserve">Najlepszy na 90 lvl postaci</t>
  </si>
  <si>
    <t xml:space="preserve">Zestaw klasowy (poz. 99)</t>
  </si>
  <si>
    <t xml:space="preserve">233</t>
  </si>
  <si>
    <t xml:space="preserve">Endgame</t>
  </si>
  <si>
    <t xml:space="preserve">Biżuteria</t>
  </si>
  <si>
    <t xml:space="preserve">Płaski bonus losowy atrybutu</t>
  </si>
  <si>
    <t xml:space="preserve">1-5</t>
  </si>
  <si>
    <t xml:space="preserve">Jedyny wyjątek poza systemem klasowym</t>
  </si>
  <si>
    <t xml:space="preserve">Zestawy ekwipunku</t>
  </si>
  <si>
    <t xml:space="preserve">Liczba zestawów</t>
  </si>
  <si>
    <t xml:space="preserve">pvp/guild_war/set1/set2/set3</t>
  </si>
  <si>
    <t xml:space="preserve">Wymóg poziomu</t>
  </si>
  <si>
    <t xml:space="preserve">Odblokowanie Areny</t>
  </si>
  <si>
    <t xml:space="preserve">Limit prób dziennie</t>
  </si>
  <si>
    <t xml:space="preserve">Maksymalna liczba</t>
  </si>
  <si>
    <t xml:space="preserve">próby</t>
  </si>
  <si>
    <t xml:space="preserve">MAX_DAILY_PVP_FIGHTS</t>
  </si>
  <si>
    <t xml:space="preserve">Regeneracja prób</t>
  </si>
  <si>
    <t xml:space="preserve">Tempo</t>
  </si>
  <si>
    <t xml:space="preserve">+1 / 1h</t>
  </si>
  <si>
    <t xml:space="preserve">próba/godz.</t>
  </si>
  <si>
    <t xml:space="preserve">Cooldown wyzwania</t>
  </si>
  <si>
    <t xml:space="preserve">Czas</t>
  </si>
  <si>
    <t xml:space="preserve">Ligi ELO</t>
  </si>
  <si>
    <t xml:space="preserve">Liczba rang</t>
  </si>
  <si>
    <t xml:space="preserve">Brąz/Srebro/Złoto/Platyna</t>
  </si>
  <si>
    <t xml:space="preserve">Wojna Gildii - nagroda</t>
  </si>
  <si>
    <t xml:space="preserve">Żetony areny</t>
  </si>
  <si>
    <t xml:space="preserve">żetonów</t>
  </si>
  <si>
    <t xml:space="preserve">Top 5 zwycięskiej drużyny</t>
  </si>
  <si>
    <t xml:space="preserve">Typy misji</t>
  </si>
  <si>
    <t xml:space="preserve">Liczba typów</t>
  </si>
  <si>
    <t xml:space="preserve">Hunting/Gathering/Action</t>
  </si>
  <si>
    <t xml:space="preserve">Stany questa</t>
  </si>
  <si>
    <t xml:space="preserve">Liczba stanów</t>
  </si>
  <si>
    <t xml:space="preserve">Available/Active/Completed/Rewarded</t>
  </si>
  <si>
    <t xml:space="preserve">Tablica Wyzwań</t>
  </si>
  <si>
    <t xml:space="preserve">Punkty umiejętności</t>
  </si>
  <si>
    <t xml:space="preserve">Za poziom</t>
  </si>
  <si>
    <t xml:space="preserve">Poziom umiejętności</t>
  </si>
  <si>
    <t xml:space="preserve">Maksymalny</t>
  </si>
  <si>
    <t xml:space="preserve">Max Lv. 5</t>
  </si>
  <si>
    <t xml:space="preserve">Deck umiejętności</t>
  </si>
  <si>
    <t xml:space="preserve">Maks. wyposażonych</t>
  </si>
  <si>
    <t xml:space="preserve">Passive Extra Attack</t>
  </si>
  <si>
    <t xml:space="preserve">Cap szansy</t>
  </si>
  <si>
    <t xml:space="preserve">75</t>
  </si>
  <si>
    <t xml:space="preserve">Buff Defense</t>
  </si>
  <si>
    <t xml:space="preserve">Cap redukcji obrażeń</t>
  </si>
  <si>
    <t xml:space="preserve">Typy efektów (effect_type)</t>
  </si>
  <si>
    <t xml:space="preserve">Odblokowanie modułu</t>
  </si>
  <si>
    <t xml:space="preserve">Role gildyjne</t>
  </si>
  <si>
    <t xml:space="preserve">Liczba ról</t>
  </si>
  <si>
    <t xml:space="preserve">Magazyn gildyjny</t>
  </si>
  <si>
    <t xml:space="preserve">Pojemność</t>
  </si>
  <si>
    <t xml:space="preserve">20</t>
  </si>
  <si>
    <t xml:space="preserve">Rozmiar drużyny</t>
  </si>
  <si>
    <t xml:space="preserve">Limit rund</t>
  </si>
  <si>
    <t xml:space="preserve">Nagroda</t>
  </si>
  <si>
    <t xml:space="preserve">żetonów areny/os.</t>
  </si>
  <si>
    <t xml:space="preserve">Wiadomość</t>
  </si>
  <si>
    <t xml:space="preserve">Limit długości</t>
  </si>
  <si>
    <t xml:space="preserve">znaków</t>
  </si>
  <si>
    <t xml:space="preserve">Anty-spam</t>
  </si>
  <si>
    <t xml:space="preserve">Rate limit</t>
  </si>
  <si>
    <t xml:space="preserve">1 / 2</t>
  </si>
  <si>
    <t xml:space="preserve">sekundy</t>
  </si>
  <si>
    <t xml:space="preserve">Historia wiadomości</t>
  </si>
  <si>
    <t xml:space="preserve">Okno czasowe</t>
  </si>
  <si>
    <t xml:space="preserve">Wyświetlane wiadomości</t>
  </si>
  <si>
    <t xml:space="preserve">Maksimum</t>
  </si>
  <si>
    <t xml:space="preserve">Kod łączenia Discord</t>
  </si>
  <si>
    <t xml:space="preserve">Ważność</t>
  </si>
  <si>
    <t xml:space="preserve">Nagroda za połączenie Discord</t>
  </si>
  <si>
    <t xml:space="preserve">Jednorazowa</t>
  </si>
  <si>
    <t xml:space="preserve">Bot Discord</t>
  </si>
  <si>
    <t xml:space="preserve">Częstotliwość odpytywania</t>
  </si>
  <si>
    <t xml:space="preserve">co ~2</t>
  </si>
  <si>
    <t xml:space="preserve">REST API</t>
  </si>
  <si>
    <t xml:space="preserve">Autoukrywanie panelu</t>
  </si>
  <si>
    <t xml:space="preserve">Po bezczynności</t>
  </si>
  <si>
    <t xml:space="preserve">Poziom ulepszenia</t>
  </si>
  <si>
    <t xml:space="preserve">Zakres</t>
  </si>
  <si>
    <t xml:space="preserve">0-9</t>
  </si>
  <si>
    <t xml:space="preserve">poziom (+X)</t>
  </si>
  <si>
    <t xml:space="preserve">Szansa powodzenia</t>
  </si>
  <si>
    <t xml:space="preserve">+0 -&gt; +1</t>
  </si>
  <si>
    <t xml:space="preserve">~95</t>
  </si>
  <si>
    <t xml:space="preserve">Jedyna podana liczba w dok.</t>
  </si>
  <si>
    <t xml:space="preserve">Sukces ulepszenia</t>
  </si>
  <si>
    <t xml:space="preserve">Bonus staty bazowej</t>
  </si>
  <si>
    <t xml:space="preserve">% / poziom</t>
  </si>
  <si>
    <t xml:space="preserve">min. +1 dla staty dodatniej</t>
  </si>
  <si>
    <t xml:space="preserve">Kategorie</t>
  </si>
  <si>
    <t xml:space="preserve">Liczba</t>
  </si>
  <si>
    <t xml:space="preserve">Miejsce 1</t>
  </si>
  <si>
    <t xml:space="preserve">300</t>
  </si>
  <si>
    <t xml:space="preserve">Miejsce 2</t>
  </si>
  <si>
    <t xml:space="preserve">Miejsce 3</t>
  </si>
  <si>
    <t xml:space="preserve">Miejsca 4-10</t>
  </si>
  <si>
    <t xml:space="preserve">Przechowywanie historii</t>
  </si>
  <si>
    <t xml:space="preserve">Okres</t>
  </si>
  <si>
    <t xml:space="preserve">tygodnie</t>
  </si>
  <si>
    <t xml:space="preserve">Mikstura EXP (specjalna)</t>
  </si>
  <si>
    <t xml:space="preserve">Bonus</t>
  </si>
  <si>
    <t xml:space="preserve">Raz na dobę</t>
  </si>
  <si>
    <t xml:space="preserve">Mikstury (rework S/M/L)</t>
  </si>
  <si>
    <t xml:space="preserve">Crafting rzadkość</t>
  </si>
  <si>
    <t xml:space="preserve">Common</t>
  </si>
  <si>
    <t xml:space="preserve">70</t>
  </si>
  <si>
    <t xml:space="preserve">Uncommon</t>
  </si>
  <si>
    <t xml:space="preserve">Rare</t>
  </si>
  <si>
    <t xml:space="preserve">8</t>
  </si>
  <si>
    <t xml:space="preserve">Epic</t>
  </si>
  <si>
    <t xml:space="preserve">1.9</t>
  </si>
  <si>
    <t xml:space="preserve">Legendary</t>
  </si>
  <si>
    <t xml:space="preserve">0.1</t>
  </si>
  <si>
    <t xml:space="preserve">Biżuteria (crafting)</t>
  </si>
  <si>
    <t xml:space="preserve">Szansa na bonus atrybutu</t>
  </si>
  <si>
    <t xml:space="preserve">25</t>
  </si>
  <si>
    <t xml:space="preserve">Zaklinanie</t>
  </si>
  <si>
    <t xml:space="preserve">Maks. liczba bonusów</t>
  </si>
  <si>
    <t xml:space="preserve">Szansa - bonus 1</t>
  </si>
  <si>
    <t xml:space="preserve">Szansa - bonus 2</t>
  </si>
  <si>
    <t xml:space="preserve">Szansa - bonus 3</t>
  </si>
  <si>
    <t xml:space="preserve">Szansa - bonus 4</t>
  </si>
  <si>
    <t xml:space="preserve">Szansa - bonus 5</t>
  </si>
  <si>
    <t xml:space="preserve">Reroll</t>
  </si>
  <si>
    <t xml:space="preserve">Koszt bazowy za slot</t>
  </si>
  <si>
    <t xml:space="preserve">200 zł / 2 gemy</t>
  </si>
  <si>
    <t xml:space="preserve">Mnożnik za zablokowany slot</t>
  </si>
  <si>
    <t xml:space="preserve">x2</t>
  </si>
  <si>
    <t xml:space="preserve">na blokadę</t>
  </si>
  <si>
    <t xml:space="preserve">Koszt = x2^liczba_blokad</t>
  </si>
  <si>
    <t xml:space="preserve">Switchbot</t>
  </si>
  <si>
    <t xml:space="preserve">Rzut - zwykły gracz</t>
  </si>
  <si>
    <t xml:space="preserve">co 300</t>
  </si>
  <si>
    <t xml:space="preserve">Rzut - Premium</t>
  </si>
  <si>
    <t xml:space="preserve">co 150</t>
  </si>
  <si>
    <t xml:space="preserve">2x szybciej</t>
  </si>
  <si>
    <t xml:space="preserve">Pula broni</t>
  </si>
  <si>
    <t xml:space="preserve">Crit chance</t>
  </si>
  <si>
    <t xml:space="preserve">Pula zbroi</t>
  </si>
  <si>
    <t xml:space="preserve">Dodge chance</t>
  </si>
  <si>
    <t xml:space="preserve">Pula biżuterii</t>
  </si>
  <si>
    <t xml:space="preserve">Double exp/gold/drop chance</t>
  </si>
  <si>
    <t xml:space="preserve">Kluczowe cechy</t>
  </si>
  <si>
    <t xml:space="preserve">Liczba aktywnych bossów</t>
  </si>
  <si>
    <t xml:space="preserve">low/mid/high</t>
  </si>
  <si>
    <t xml:space="preserve">Ochrona przed zabiciem</t>
  </si>
  <si>
    <t xml:space="preserve">Fikcyjna pula HP (walka 1v1)</t>
  </si>
  <si>
    <t xml:space="preserve">999 999 999</t>
  </si>
  <si>
    <t xml:space="preserve">HP</t>
  </si>
  <si>
    <t xml:space="preserve">Walka z bossem</t>
  </si>
  <si>
    <t xml:space="preserve">Limit tur</t>
  </si>
  <si>
    <t xml:space="preserve">Rozliczenie (Job)</t>
  </si>
  <si>
    <t xml:space="preserve">Częstotliwość</t>
  </si>
  <si>
    <t xml:space="preserve">Przeskalowanie staty</t>
  </si>
  <si>
    <t xml:space="preserve">ATK</t>
  </si>
  <si>
    <t xml:space="preserve">x1.5</t>
  </si>
  <si>
    <t xml:space="preserve">mnożnik</t>
  </si>
  <si>
    <t xml:space="preserve">względem boss mapy</t>
  </si>
  <si>
    <t xml:space="preserve">DEF</t>
  </si>
  <si>
    <t xml:space="preserve">x1.25</t>
  </si>
  <si>
    <t xml:space="preserve">Pula bossów</t>
  </si>
  <si>
    <t xml:space="preserve">Liczba world bossów</t>
  </si>
  <si>
    <t xml:space="preserve">2 na przedział low/mid, 3 na high</t>
  </si>
  <si>
    <t xml:space="preserve">50 gemów + 5 kluczy</t>
  </si>
  <si>
    <t xml:space="preserve">Miejsce 2-3</t>
  </si>
  <si>
    <t xml:space="preserve">30 gemów + 5 kluczy</t>
  </si>
  <si>
    <t xml:space="preserve">Miejsce 4-6</t>
  </si>
  <si>
    <t xml:space="preserve">3 klucze</t>
  </si>
  <si>
    <t xml:space="preserve">Miejsce 7-9</t>
  </si>
  <si>
    <t xml:space="preserve">1 klucz</t>
  </si>
  <si>
    <t xml:space="preserve">Zakres etapów</t>
  </si>
  <si>
    <t xml:space="preserve">game_stage</t>
  </si>
  <si>
    <t xml:space="preserve">0-43</t>
  </si>
  <si>
    <t xml:space="preserve">etapy</t>
  </si>
  <si>
    <t xml:space="preserve">Próg odblokowania</t>
  </si>
  <si>
    <t xml:space="preserve">Gildia</t>
  </si>
  <si>
    <t xml:space="preserve">Arena</t>
  </si>
  <si>
    <t xml:space="preserve">Lustro</t>
  </si>
  <si>
    <t xml:space="preserve">Gwarantowany pierwszy przeciwnik</t>
  </si>
  <si>
    <t xml:space="preserve">Wilk Leśny - HP/ATK/DEF</t>
  </si>
  <si>
    <t xml:space="preserve">35 / 6 / 2</t>
  </si>
  <si>
    <t xml:space="preserve">Za rozdanie punktów</t>
  </si>
  <si>
    <t xml:space="preserve">150</t>
  </si>
  <si>
    <t xml:space="preserve">Za zaklęcie przedmiotu</t>
  </si>
  <si>
    <t xml:space="preserve">200 EXP + 250 złota</t>
  </si>
  <si>
    <t xml:space="preserve">Petów wejściowych</t>
  </si>
  <si>
    <t xml:space="preserve">-&gt; 1 wyższego tieru</t>
  </si>
  <si>
    <t xml:space="preserve">Bonus dojrzałości za stopień</t>
  </si>
  <si>
    <t xml:space="preserve">3.3333</t>
  </si>
  <si>
    <t xml:space="preserve">%/stopień</t>
  </si>
  <si>
    <t xml:space="preserve">Max 6 stopni = +20%</t>
  </si>
  <si>
    <t xml:space="preserve">Licznik fuzji</t>
  </si>
  <si>
    <t xml:space="preserve">Bonus puli staty</t>
  </si>
  <si>
    <t xml:space="preserve">+10</t>
  </si>
  <si>
    <t xml:space="preserve">%/fuzję</t>
  </si>
  <si>
    <t xml:space="preserve">Bonus wymaganego EXP</t>
  </si>
  <si>
    <t xml:space="preserve">Norma poziomowa</t>
  </si>
  <si>
    <t xml:space="preserve">Baza</t>
  </si>
  <si>
    <t xml:space="preserve">poziom x 2.35</t>
  </si>
  <si>
    <t xml:space="preserve">Growth Stage</t>
  </si>
  <si>
    <t xml:space="preserve">Liczba etapów</t>
  </si>
  <si>
    <t xml:space="preserve">0-3</t>
  </si>
  <si>
    <t xml:space="preserve">1 / 25 / 50 / 75</t>
  </si>
  <si>
    <t xml:space="preserve">Gatunki</t>
  </si>
  <si>
    <t xml:space="preserve">18</t>
  </si>
  <si>
    <t xml:space="preserve">3 archetypy x 6 tierów</t>
  </si>
  <si>
    <t xml:space="preserve">Ekwipunek peta</t>
  </si>
  <si>
    <t xml:space="preserve">Liczba slotów</t>
  </si>
  <si>
    <t xml:space="preserve">obroża + charm</t>
  </si>
  <si>
    <t xml:space="preserve">Aktywny towarzysz</t>
  </si>
  <si>
    <t xml:space="preserve">Limit</t>
  </si>
  <si>
    <t xml:space="preserve">Reguły Tekstowe / Jakościowe</t>
  </si>
  <si>
    <t xml:space="preserve">Zasady projektowe, procesy, ograniczenia i zapisy prawne nie dające się sprowadzić do liczby</t>
  </si>
  <si>
    <t xml:space="preserve">Reguła / Opis</t>
  </si>
  <si>
    <t xml:space="preserve">Architektura eventowa</t>
  </si>
  <si>
    <t xml:space="preserve">System oparty w całości na asynchronicznych eventach (MonsterDefeated -&gt; AchievementProgressed -&gt; toast UI).</t>
  </si>
  <si>
    <t xml:space="preserve">Proces</t>
  </si>
  <si>
    <t xml:space="preserve">Hierarchia osiągnięć</t>
  </si>
  <si>
    <t xml:space="preserve">Osiągnięcia mogą mieć 'Parent ID', tworząc łańcuchy trudności (Tier I/II).</t>
  </si>
  <si>
    <t xml:space="preserve">Zasada projektowa</t>
  </si>
  <si>
    <t xml:space="preserve">Tytuły</t>
  </si>
  <si>
    <t xml:space="preserve">Gracz wybiera jeden zdobyty tytuł do wyświetlania na stałe, aż do zmiany.</t>
  </si>
  <si>
    <t xml:space="preserve">Warunki kontekstowe</t>
  </si>
  <si>
    <t xml:space="preserve">Osiągnięcia filtrowane przez warunki JSON (np. tylko konkretny typ/ranga potwora).</t>
  </si>
  <si>
    <t xml:space="preserve">Scalenie domen</t>
  </si>
  <si>
    <t xml:space="preserve">Kowal łączy dawne osobne funkcje Brońmistrza i Zbrojmistrza w jeden widok.</t>
  </si>
  <si>
    <t xml:space="preserve">Zasada projektowa (refaktor)</t>
  </si>
  <si>
    <t xml:space="preserve">Podział funkcji</t>
  </si>
  <si>
    <t xml:space="preserve">Wiedźma odpowiada wyłącznie za crafting mikstur, Kowal za broń/zbroję.</t>
  </si>
  <si>
    <t xml:space="preserve">Unikalność nazwy</t>
  </si>
  <si>
    <t xml:space="preserve">Nazwa postaci musi być unikalna w całej grze.</t>
  </si>
  <si>
    <t xml:space="preserve">Ograniczenie</t>
  </si>
  <si>
    <t xml:space="preserve">Przedmiot startowy</t>
  </si>
  <si>
    <t xml:space="preserve">Każda nowa postać dostaje 'Zardzewiały Miecz' do plecaka.</t>
  </si>
  <si>
    <t xml:space="preserve">Blokada wieloosobowa</t>
  </si>
  <si>
    <t xml:space="preserve">Gracz może mieć aktywną tylko jedną postać jednocześnie w sesji.</t>
  </si>
  <si>
    <t xml:space="preserve">Bezpieczeństwo</t>
  </si>
  <si>
    <t xml:space="preserve">Idempotencja nagród</t>
  </si>
  <si>
    <t xml:space="preserve">Nagrody z walki chronione kluczem idempotency, by uniknąć podwójnego naliczenia.</t>
  </si>
  <si>
    <t xml:space="preserve">Inicjatywa</t>
  </si>
  <si>
    <t xml:space="preserve">Ustalana na bazie AGI obu stron - decyduje kto atakuje pierwszy.</t>
  </si>
  <si>
    <t xml:space="preserve">Log walki</t>
  </si>
  <si>
    <t xml:space="preserve">Pełny przebieg starcia zapisywany jako JSON do odtworzenia graficznego w UI.</t>
  </si>
  <si>
    <t xml:space="preserve">Specjalizacje broni</t>
  </si>
  <si>
    <t xml:space="preserve">Każdy z 6 typów broni ma unikalną mechanikę bojową (krwawienie/otrucie/podwójny cios/przebicie/rozbłysk/infuzja).</t>
  </si>
  <si>
    <t xml:space="preserve">Anti-cheat multi-tab</t>
  </si>
  <si>
    <t xml:space="preserve">Blokada frontendowa (token sesji karty) i backendowa (rate limit + lock) przed dublowaniem walk.</t>
  </si>
  <si>
    <t xml:space="preserve">Naprawa walki grupowej</t>
  </si>
  <si>
    <t xml:space="preserve">Nagrody i drop liczone osobno na każdego z pokonanych potworów, nie na całą grupę naraz.</t>
  </si>
  <si>
    <t xml:space="preserve">Proces (fix historyczny)</t>
  </si>
  <si>
    <t xml:space="preserve">Klucz wejścia</t>
  </si>
  <si>
    <t xml:space="preserve">Wymaga specyficznego przedmiotu-klucza, zużywanego bezpowrotnie przy wejściu.</t>
  </si>
  <si>
    <t xml:space="preserve">Kumulacja łupu</t>
  </si>
  <si>
    <t xml:space="preserve">Nagrody magazynowane do końca lochu; śmierć/porażka oznacza utratę wszystkiego.</t>
  </si>
  <si>
    <t xml:space="preserve">Zasada projektowa (ryzyko)</t>
  </si>
  <si>
    <t xml:space="preserve">Symulacja w tle</t>
  </si>
  <si>
    <t xml:space="preserve">Walki obliczane asynchronicznie przez kolejki (Jobs), by nie obciążać serwera.</t>
  </si>
  <si>
    <t xml:space="preserve">Proces techniczny</t>
  </si>
  <si>
    <t xml:space="preserve">Ochrona przed przypadkowym zakupem</t>
  </si>
  <si>
    <t xml:space="preserve">Dwuetapowy modal potwierdzenia zakupu na Rynku.</t>
  </si>
  <si>
    <t xml:space="preserve">Idempotencja i transakcje</t>
  </si>
  <si>
    <t xml:space="preserve">Wszystkie operacje kupna/sprzedaży w transakcjach DB z logami Ledger.</t>
  </si>
  <si>
    <t xml:space="preserve">Filtrowanie ofert</t>
  </si>
  <si>
    <t xml:space="preserve">Checklista statystyk działa w logice AND - oferta musi mieć KAŻDĄ zaznaczoną statystykę.</t>
  </si>
  <si>
    <t xml:space="preserve">Ulotność</t>
  </si>
  <si>
    <t xml:space="preserve">Wiadomości nie są zapisywane w bazie danych, znikają po odświeżeniu strony.</t>
  </si>
  <si>
    <t xml:space="preserve">Akceptacja regulaminu</t>
  </si>
  <si>
    <t xml:space="preserve">Wymagana przed pierwszym wysłaniem wiadomości (UGC disclaimer).</t>
  </si>
  <si>
    <t xml:space="preserve">Dwukierunkowa synchronizacja: webhook (gra-&gt;Discord) i bot odpytujący REST (Discord-&gt;gra).</t>
  </si>
  <si>
    <t xml:space="preserve">Komendy administratora</t>
  </si>
  <si>
    <t xml:space="preserve">Wymagają permission_level == 9 (Game Master).</t>
  </si>
  <si>
    <t xml:space="preserve">Role</t>
  </si>
  <si>
    <t xml:space="preserve">5 poziomów uprawnień: leader/commander/elder/member/novice.</t>
  </si>
  <si>
    <t xml:space="preserve">Jedno starcie drużynowe 5v5 zamiast 5 osobnych pojedynków 1v1 (rework).</t>
  </si>
  <si>
    <t xml:space="preserve">Proces (rework)</t>
  </si>
  <si>
    <t xml:space="preserve">Cel ataku (focus fire)</t>
  </si>
  <si>
    <t xml:space="preserve">Każda postać atakuje żywego wroga z najniższym aktualnym HP.</t>
  </si>
  <si>
    <t xml:space="preserve">Wygrana wojny</t>
  </si>
  <si>
    <t xml:space="preserve">Zwycięska gildia przejmuje CAŁY skarbiec przegranej gildii.</t>
  </si>
  <si>
    <t xml:space="preserve">Prawo odstąpienia</t>
  </si>
  <si>
    <t xml:space="preserve">Gracz zrzeka się 14-dniowego prawa odstąpienia - natychmiastowa dostawa cyfrowa.</t>
  </si>
  <si>
    <t xml:space="preserve">Prawne</t>
  </si>
  <si>
    <t xml:space="preserve">Brak zwrotów</t>
  </si>
  <si>
    <t xml:space="preserve">Gemy/Premium nie mają wartości pieniężnej i nie podlegają zwrotowi po dostawie.</t>
  </si>
  <si>
    <t xml:space="preserve">Utrata przy banie</t>
  </si>
  <si>
    <t xml:space="preserve">Zawieszenie konta = utrata wszystkich walut/przedmiotów bez rekompensaty.</t>
  </si>
  <si>
    <t xml:space="preserve">World Boss bez dropu</t>
  </si>
  <si>
    <t xml:space="preserve">Potwory rangi worldboss nie mogą mieć własnej LootTable (walka zawsze 'przegrana' gracza w sensie $winner).</t>
  </si>
  <si>
    <t xml:space="preserve">Ograniczenie architektury</t>
  </si>
  <si>
    <t xml:space="preserve">Zabezpieczenie przed duplikacją</t>
  </si>
  <si>
    <t xml:space="preserve">idempotency_key budowany na bazie ID starcia chroni przed dublowaniem łupu.</t>
  </si>
  <si>
    <t xml:space="preserve">Kierunek komunikacji</t>
  </si>
  <si>
    <t xml:space="preserve">Wyłącznie System -&gt; Gracz, brak komunikacji P2P między graczami.</t>
  </si>
  <si>
    <t xml:space="preserve">Odbiór załączników</t>
  </si>
  <si>
    <t xml:space="preserve">Chronione idempotency_key przed race condition przy odbiorze.</t>
  </si>
  <si>
    <t xml:space="preserve">Dynamiczne tiery</t>
  </si>
  <si>
    <t xml:space="preserve">Pasek tierów wyliczany automatycznie z danych, bez hardkodowania progów poziomowych.</t>
  </si>
  <si>
    <t xml:space="preserve">Scalenie NPC</t>
  </si>
  <si>
    <t xml:space="preserve">Handlarz łączy dawnego Brońmistrza i Zbrojmistrza w jeden punkt handlowy.</t>
  </si>
  <si>
    <t xml:space="preserve">Rozdzielenie poziomu i dostępu</t>
  </si>
  <si>
    <t xml:space="preserve">Sam poziom 30 nie wystarcza - trzeba dodatkowo wykupić czasowy dostęp u Wiedźmy.</t>
  </si>
  <si>
    <t xml:space="preserve">Przedłużanie dostępu</t>
  </si>
  <si>
    <t xml:space="preserve">Kolejny zakup dolicza kolejne 7 dni zamiast resetować termin ważności.</t>
  </si>
  <si>
    <t xml:space="preserve">Zamrożone tempo</t>
  </si>
  <si>
    <t xml:space="preserve">Tempo exp/gold zamrażane w momencie startu sesji Lustra.</t>
  </si>
  <si>
    <t xml:space="preserve">Fuzja zamiast Sokowirówki</t>
  </si>
  <si>
    <t xml:space="preserve">Nowa mechanika łączy dokładnie 2 pety (nie 3) w jeden peta wyższego tieru.</t>
  </si>
  <si>
    <t xml:space="preserve">Zasada projektowa (rework)</t>
  </si>
  <si>
    <t xml:space="preserve">Porażka fuzji</t>
  </si>
  <si>
    <t xml:space="preserve">Wynik porażki losowany z wagi (5 wariantów) - gracz nigdy nie wybiera wariantu.</t>
  </si>
  <si>
    <t xml:space="preserve">Tłumienie mocy</t>
  </si>
  <si>
    <t xml:space="preserve">Wkład statystyk peta tłumiony proporcjonalnie, gdy pet ma wyższy poziom niż postać.</t>
  </si>
  <si>
    <t xml:space="preserve">Zasada balansu</t>
  </si>
  <si>
    <t xml:space="preserve">Handel petami</t>
  </si>
  <si>
    <t xml:space="preserve">Pet nigdy fizycznie nie 'leży' na rynku - zmienia się tylko właściciel (character_id).</t>
  </si>
  <si>
    <t xml:space="preserve">Jeden aktywny towarzysz</t>
  </si>
  <si>
    <t xml:space="preserve">Tylko 1 pet naraz dolicza staty/CP do postaci gracza.</t>
  </si>
  <si>
    <t xml:space="preserve">Sortowanie plecaka</t>
  </si>
  <si>
    <t xml:space="preserve">Automatyczne grupowanie przedmiotów wg kategorii oraz mocy (Combat Power).</t>
  </si>
  <si>
    <t xml:space="preserve">5 niezależnych, wirtualnych zestawów (PvP/Wojna Gildii/Set1-3) niepowiązanych z fizycznym gearem.</t>
  </si>
  <si>
    <t xml:space="preserve">Fallback per-slot</t>
  </si>
  <si>
    <t xml:space="preserve">Pusty/nieaktualny slot zestawu spada na aktualnie założony przedmiot.</t>
  </si>
  <si>
    <t xml:space="preserve">Odporność na błędy</t>
  </si>
  <si>
    <t xml:space="preserve">Itemizacja klasowa</t>
  </si>
  <si>
    <t xml:space="preserve">Zestawy zbroi (Wojownik/Mag/Skrytobójca) dają surowe atrybuty tematycznie do klasy.</t>
  </si>
  <si>
    <t xml:space="preserve">Snapshoty (Widma)</t>
  </si>
  <si>
    <t xml:space="preserve">Zamrożone statystyki i ekwipunek pozwalają walczyć z graczem, który jest offline.</t>
  </si>
  <si>
    <t xml:space="preserve">Zestaw obronny</t>
  </si>
  <si>
    <t xml:space="preserve">Obrońca broni się dedykowanym zestawem 'Arena PvP', atakujący zawsze aktualnym gearem.</t>
  </si>
  <si>
    <t xml:space="preserve">Maszyna stanów</t>
  </si>
  <si>
    <t xml:space="preserve">Available -&gt; Active -&gt; Completed -&gt; Rewarded, rekord pozostaje w historii blokując powtórkę.</t>
  </si>
  <si>
    <t xml:space="preserve">Typ Gathering</t>
  </si>
  <si>
    <t xml:space="preserve">Loot questowy aktywuje się tylko podczas trwania danej misji.</t>
  </si>
  <si>
    <t xml:space="preserve">Typ Action</t>
  </si>
  <si>
    <t xml:space="preserve">Wciąż w fazie projektowej, jeszcze niezaimplementowany w pełni.</t>
  </si>
  <si>
    <t xml:space="preserve">Status</t>
  </si>
  <si>
    <t xml:space="preserve">Przechowywanie</t>
  </si>
  <si>
    <t xml:space="preserve">Ustawienia czysto klienckie w localStorage, brak modelu/tabeli w bazie danych.</t>
  </si>
  <si>
    <t xml:space="preserve">Powiadomienia</t>
  </si>
  <si>
    <t xml:space="preserve">Toggle wpływa wyłącznie na widoczność toastu - progres zawsze zapisywany w bazie.</t>
  </si>
  <si>
    <t xml:space="preserve">Wymóg broni</t>
  </si>
  <si>
    <t xml:space="preserve">Skill wymaga konkretnego typu broni w ręce głównej, inaczej jest nieaktywny.</t>
  </si>
  <si>
    <t xml:space="preserve">Trzy zduplikowane silniki</t>
  </si>
  <si>
    <t xml:space="preserve">PvE/PvP/Wojna Gildii to osobne implementacje wymagające ręcznej synchronizacji balansu.</t>
  </si>
  <si>
    <t xml:space="preserve">Dług techniczny</t>
  </si>
  <si>
    <t xml:space="preserve">AoE w starciach grupowych</t>
  </si>
  <si>
    <t xml:space="preserve">Umiejętność is_aoe trafia wszystkich żywych przeciwników jednocześnie.</t>
  </si>
  <si>
    <t xml:space="preserve">Wymuszenie nicku</t>
  </si>
  <si>
    <t xml:space="preserve">Modal blokuje interakcję z UI dopóki gracz nie ustawi unikalnej nazwy postaci.</t>
  </si>
  <si>
    <t xml:space="preserve">Łączenie kont</t>
  </si>
  <si>
    <t xml:space="preserve">System wiąże konto po adresie e-mail zwróconym przez dostawcę OAuth.</t>
  </si>
  <si>
    <t xml:space="preserve">Powiązanie z kontem</t>
  </si>
  <si>
    <t xml:space="preserve">Postęp samouczka (game_stage) przypisany do User, nie do Character.</t>
  </si>
  <si>
    <t xml:space="preserve">Anti-softlock</t>
  </si>
  <si>
    <t xml:space="preserve">Automatyczne przeskakiwanie zbędnych etapów dla graczy szybszych niż liniowy tok samouczka.</t>
  </si>
  <si>
    <t xml:space="preserve">Brak niszczenia przy porażce</t>
  </si>
  <si>
    <t xml:space="preserve">Porażka nie niszczy przedmiotu ani nie obniża poziomu ulepszenia (w odróżnieniu od hardcore RPG).</t>
  </si>
  <si>
    <t xml:space="preserve">Atomowy upsert</t>
  </si>
  <si>
    <t xml:space="preserve">INSERT...ON CONFLICT DO UPDATE zabezpiecza równoległe żądania walki.</t>
  </si>
  <si>
    <t xml:space="preserve">Job synchroniczny</t>
  </si>
  <si>
    <t xml:space="preserve">Nie implementuje ShouldQueue - wykonuje się bezpośrednio w procesie schedulera.</t>
  </si>
  <si>
    <t xml:space="preserve">Rework mikstur</t>
  </si>
  <si>
    <t xml:space="preserve">Płaskie wartości zamienione na procentowe, czasy trwania znacząco wydłużone.</t>
  </si>
  <si>
    <t xml:space="preserve">Zmiana balansu</t>
  </si>
  <si>
    <t xml:space="preserve">Panel administratora</t>
  </si>
  <si>
    <t xml:space="preserve">Receptury konfigurowalne bez pisania kodu, w GUI panelu admina.</t>
  </si>
  <si>
    <t xml:space="preserve">Blokada zaklęć</t>
  </si>
  <si>
    <t xml:space="preserve">Każdy z 1-5 bonusów na przedmiocie można indywidualnie zablokować przed rerollem.</t>
  </si>
  <si>
    <t xml:space="preserve">Rozkład Gaussa</t>
  </si>
  <si>
    <t xml:space="preserve">Wartości bonusów losowane rozkładem pół-normalnym (Box-Muller) - wysokie wartości znacznie trudniejsze.</t>
  </si>
  <si>
    <t xml:space="preserve">Automatyczne przelosowywanie do momentu trafienia zadanych kryteriów gracza.</t>
  </si>
  <si>
    <t xml:space="preserve">Brak regeneracji puli</t>
  </si>
  <si>
    <t xml:space="preserve">Współdzielone HP to czysta, malejąca suma obrażeń całej społeczności serwera.</t>
  </si>
  <si>
    <t xml:space="preserve">Ochrona przed przypadkowym zabiciem</t>
  </si>
  <si>
    <t xml:space="preserve">Obrażenia w pojedynczej walce liczone względem oddzielnej, fikcyjnej puli HP.</t>
  </si>
  <si>
    <t xml:space="preserve">Jedna próba</t>
  </si>
  <si>
    <t xml:space="preserve">Gracz może zaatakować daną instancję world bossa tylko raz.</t>
  </si>
  <si>
    <t xml:space="preserve">Rozliczenie niezależne od HP</t>
  </si>
  <si>
    <t xml:space="preserve">Nagrody przyznawane co godzinę niezależnie od tego, czy boss faktycznie padł.</t>
  </si>
  <si>
    <t xml:space="preserve">Roadmap</t>
  </si>
  <si>
    <t xml:space="preserve">Fazy 1-16</t>
  </si>
  <si>
    <t xml:space="preserve">Zakończone: rdzeń gry, ekwipunek, kuźnia, PvP, gildie, tutorial, questy, achievementy.</t>
  </si>
  <si>
    <t xml:space="preserve">Faza 17 - Itemshop</t>
  </si>
  <si>
    <t xml:space="preserve">Monetyzacja i mikropłatności - w trakcie/planowana.</t>
  </si>
  <si>
    <t xml:space="preserve">Faza 18 - Ekonomia 2.0</t>
  </si>
  <si>
    <t xml:space="preserve">Zawody zbierackie/wytwórcze i ewolucja przedmiotów - planowana.</t>
  </si>
  <si>
    <t xml:space="preserve">Bramki poziomowe dostępu do modułów oraz krzywa wymaganego XP (formuła z docs/modules/characters.md)</t>
  </si>
  <si>
    <t xml:space="preserve">Bramki poziomowe (wymagany poziom postaci)</t>
  </si>
  <si>
    <t xml:space="preserve">Moduł / Funkcja</t>
  </si>
  <si>
    <t xml:space="preserve">Tablica Wyzwań (Questy)</t>
  </si>
  <si>
    <t xml:space="preserve">Arena PvP / Sklep Gladiatora</t>
  </si>
  <si>
    <t xml:space="preserve">Lustro (Profil + Wiedźma)</t>
  </si>
  <si>
    <t xml:space="preserve">Krzywa wymaganego XP i punktów rozwoju wg poziomu (1-99)</t>
  </si>
  <si>
    <t xml:space="preserve">Poziom</t>
  </si>
  <si>
    <t xml:space="preserve">Wymagane XP (formuła)</t>
  </si>
  <si>
    <t xml:space="preserve">Punkty Postaci (skumulowane)</t>
  </si>
  <si>
    <t xml:space="preserve">Punkty Umiejętności (skumulowane)</t>
  </si>
  <si>
    <t xml:space="preserve">Źródło formuły XP: docs/modules/characters.md, sekcja 'Poziomy i XP'. Formuła: 15*L² + 50*L + 0.15*L^4.1 + (L&gt;85 ? 0.025*(L-85)^5.5 : 0). Poziom max = 99 (docs/modules/world_boss.md).</t>
  </si>
  <si>
    <t xml:space="preserve">Walka — Parametry Liczbowe</t>
  </si>
  <si>
    <t xml:space="preserve">Twarde limity, skalowanie potworów i formuły zasobów z docs/modules/combat.md</t>
  </si>
  <si>
    <t xml:space="preserve">Twarde limity (hard cap) w walce</t>
  </si>
  <si>
    <t xml:space="preserve">Wartość (%)</t>
  </si>
  <si>
    <t xml:space="preserve">Krytyk - hard cap (gracz)</t>
  </si>
  <si>
    <t xml:space="preserve">Krytyk - hard cap (potwór)</t>
  </si>
  <si>
    <t xml:space="preserve">Unik (dodge) - hard cap</t>
  </si>
  <si>
    <t xml:space="preserve">Skalowanie statystyk potworów wg różnicy poziomów (formuła)</t>
  </si>
  <si>
    <t xml:space="preserve">Różnica poziomów (gracz - potwór)</t>
  </si>
  <si>
    <t xml:space="preserve">Mnożnik staty potwora</t>
  </si>
  <si>
    <t xml:space="preserve">Waga atrybutów wg typu broni (getAttributeAttackBonus)</t>
  </si>
  <si>
    <t xml:space="preserve">Broń</t>
  </si>
  <si>
    <t xml:space="preserve">STR (waga)</t>
  </si>
  <si>
    <t xml:space="preserve">INT (waga)</t>
  </si>
  <si>
    <t xml:space="preserve">AGI (waga)</t>
  </si>
  <si>
    <t xml:space="preserve">Miecz (sword)</t>
  </si>
  <si>
    <t xml:space="preserve">Topór (axe)</t>
  </si>
  <si>
    <t xml:space="preserve">Łuk (bow)</t>
  </si>
  <si>
    <t xml:space="preserve">Sztylet (dagger)</t>
  </si>
  <si>
    <t xml:space="preserve">Dzwon (bell)</t>
  </si>
  <si>
    <t xml:space="preserve">Różdżka (wand)</t>
  </si>
  <si>
    <t xml:space="preserve">Pięści (barehands)</t>
  </si>
  <si>
    <t xml:space="preserve">Składowe formuł zasobów gracza (HP vs Mana)</t>
  </si>
  <si>
    <t xml:space="preserve">Składowa</t>
  </si>
  <si>
    <t xml:space="preserve">HP (pkt)</t>
  </si>
  <si>
    <t xml:space="preserve">Mana (pkt)</t>
  </si>
  <si>
    <t xml:space="preserve">Za punkt atrybutu (VIT / INT)</t>
  </si>
  <si>
    <t xml:space="preserve">Za poziom postaci</t>
  </si>
  <si>
    <t xml:space="preserve">Opłaty rynkowe, koszty zwojów, dostępu do Lustra i mikstur</t>
  </si>
  <si>
    <t xml:space="preserve">Opłata za wystawienie oferty na Rynku (wg czasu trwania)</t>
  </si>
  <si>
    <t xml:space="preserve">Czas wystawienia</t>
  </si>
  <si>
    <t xml:space="preserve">Opłata (złoto)</t>
  </si>
  <si>
    <t xml:space="preserve">Dodatkowo: 5% prowizji systemowej od ceny sprzedaży przy każdej transakcji.</t>
  </si>
  <si>
    <t xml:space="preserve">Koszty w Gemach (waluta premium)</t>
  </si>
  <si>
    <t xml:space="preserve">Pozycja</t>
  </si>
  <si>
    <t xml:space="preserve">Koszt (gemy)</t>
  </si>
  <si>
    <t xml:space="preserve">Dodatkowy slot magazynu gracza</t>
  </si>
  <si>
    <t xml:space="preserve">Reset atrybutów (Profil)</t>
  </si>
  <si>
    <t xml:space="preserve">Dostęp do Lustra (7 dni)</t>
  </si>
  <si>
    <t xml:space="preserve">Dostęp do Lustra można też opłacić 5 000 000 złota zamiast 200 gemów.</t>
  </si>
  <si>
    <t xml:space="preserve">Mikstury (rework 2026-08-02) — Rozmiar S / M / L</t>
  </si>
  <si>
    <t xml:space="preserve">Rozmiar</t>
  </si>
  <si>
    <t xml:space="preserve">Bonus (%)</t>
  </si>
  <si>
    <t xml:space="preserve">Czas trwania (h)</t>
  </si>
  <si>
    <t xml:space="preserve">S (Mała)</t>
  </si>
  <si>
    <t xml:space="preserve">M (Średnia)</t>
  </si>
  <si>
    <t xml:space="preserve">L (Duża)</t>
  </si>
  <si>
    <t xml:space="preserve">Pety — Tiery, Wykluwanie i Fuzja</t>
  </si>
  <si>
    <t xml:space="preserve">docs/modules/pets.md — 6 tierów, macierz wyklucia, szanse i koszty fuzji</t>
  </si>
  <si>
    <t xml:space="preserve">Tiery Chowańców</t>
  </si>
  <si>
    <t xml:space="preserve">Tier</t>
  </si>
  <si>
    <t xml:space="preserve">Nazwa</t>
  </si>
  <si>
    <t xml:space="preserve">Czas wyklucia (h)</t>
  </si>
  <si>
    <t xml:space="preserve">Norma poziomowa (%)</t>
  </si>
  <si>
    <t xml:space="preserve">Karmienie od poziomu</t>
  </si>
  <si>
    <t xml:space="preserve">T1</t>
  </si>
  <si>
    <t xml:space="preserve">Pospolity</t>
  </si>
  <si>
    <t xml:space="preserve">T2</t>
  </si>
  <si>
    <t xml:space="preserve">Zwykły</t>
  </si>
  <si>
    <t xml:space="preserve">T3</t>
  </si>
  <si>
    <t xml:space="preserve">Nietypowy</t>
  </si>
  <si>
    <t xml:space="preserve">T4</t>
  </si>
  <si>
    <t xml:space="preserve">Rzadki</t>
  </si>
  <si>
    <t xml:space="preserve">T5</t>
  </si>
  <si>
    <t xml:space="preserve">Epicki</t>
  </si>
  <si>
    <t xml:space="preserve">T6</t>
  </si>
  <si>
    <t xml:space="preserve">Legendarny</t>
  </si>
  <si>
    <t xml:space="preserve">Macierz Wyklucia (Jajko -&gt; Pet, % szansy na tier wynikowy)</t>
  </si>
  <si>
    <t xml:space="preserve">Jajko \ Pet</t>
  </si>
  <si>
    <t xml:space="preserve">Fuzja (2 pety tego samego tieru -&gt; 1 wyższego)</t>
  </si>
  <si>
    <t xml:space="preserve">Szansa bazowa (%)</t>
  </si>
  <si>
    <t xml:space="preserve">Szansa max z bonusem (%)</t>
  </si>
  <si>
    <t xml:space="preserve">Koszt (złoto)</t>
  </si>
  <si>
    <t xml:space="preserve">T1+T1 -&gt; T2</t>
  </si>
  <si>
    <t xml:space="preserve">T2+T2 -&gt; T3</t>
  </si>
  <si>
    <t xml:space="preserve">T3+T3 -&gt; T4</t>
  </si>
  <si>
    <t xml:space="preserve">T4+T4 -&gt; T5</t>
  </si>
  <si>
    <t xml:space="preserve">T5+T5 -&gt; T6</t>
  </si>
  <si>
    <t xml:space="preserve">Bonus dojrzałości = (growth_stage_A+growth_stage_B) x 3.3333% (max 6 stopni = +20%).</t>
  </si>
  <si>
    <t xml:space="preserve">Warianty porażki fuzji (losowane wg wagi)</t>
  </si>
  <si>
    <t xml:space="preserve">Wariant porażki</t>
  </si>
  <si>
    <t xml:space="preserve">Szansa (%)</t>
  </si>
  <si>
    <t xml:space="preserve">Brak utraty (no_loss)</t>
  </si>
  <si>
    <t xml:space="preserve">Cofnięcie 1 peta (devolve_one)</t>
  </si>
  <si>
    <t xml:space="preserve">Cofnięcie obu (devolve_both)</t>
  </si>
  <si>
    <t xml:space="preserve">Utrata 1 peta (lose_one)</t>
  </si>
  <si>
    <t xml:space="preserve">Utrata obu (lose_both)</t>
  </si>
  <si>
    <t xml:space="preserve">Rzadkość craftingu, krzywa szans zaklęć oraz ulepszanie +0..+9</t>
  </si>
  <si>
    <t xml:space="preserve">Szansa na rzadkość przy Craftingu (Kowal/Wiedźma)</t>
  </si>
  <si>
    <t xml:space="preserve">Rzadkość</t>
  </si>
  <si>
    <t xml:space="preserve">Zaklinanie u Czarodzieja/Wiedźmy — szansa sukcesu wg liczby bonusów</t>
  </si>
  <si>
    <t xml:space="preserve">Liczba bonusów na przedmiocie</t>
  </si>
  <si>
    <t xml:space="preserve">Szansa sukcesu (%)</t>
  </si>
  <si>
    <t xml:space="preserve">Ulepszanie w Kuźni (+0 do +9) — dane dostępne w dokumentacji</t>
  </si>
  <si>
    <t xml:space="preserve">Opis szansy wg dokumentacji</t>
  </si>
  <si>
    <t xml:space="preserve">~95% (jedyna dokładna wartość podana wprost w docs/modules/upgrades.md)</t>
  </si>
  <si>
    <t xml:space="preserve">+1 -&gt; +5</t>
  </si>
  <si>
    <t xml:space="preserve">Szansa systematycznie maleje - dokumentacja nie podaje dokładnych % dla poszczególnych poziomów</t>
  </si>
  <si>
    <t xml:space="preserve">+5 i wyżej</t>
  </si>
  <si>
    <t xml:space="preserve">Szansa drastycznie maleje - celowy 'gold sink'; brak dokładnych wartości w dokumentacji</t>
  </si>
  <si>
    <t xml:space="preserve">Celowo nie dorysowano pełnej krzywej % dla +2..+9 — źródło (docs/modules/upgrades.md) opisuje ją tylko jakościowo, a wymyślanie liczb wprowadziłoby dane, których nie ma w dokumentacji.</t>
  </si>
  <si>
    <t xml:space="preserve">Rankingi Tygodniowe i nagrody World Bossa wg miejsca w rankingu</t>
  </si>
  <si>
    <t xml:space="preserve">Rankingi Tygodniowe (6 kategorii, reset co poniedziałek)</t>
  </si>
  <si>
    <t xml:space="preserve">Miejsce</t>
  </si>
  <si>
    <t xml:space="preserve">Nagroda (gemy)</t>
  </si>
  <si>
    <t xml:space="preserve">4-10</t>
  </si>
  <si>
    <t xml:space="preserve">Nagrody World Bossa (rozliczenie co godzinę, Top 9)</t>
  </si>
  <si>
    <t xml:space="preserve">Gemy</t>
  </si>
  <si>
    <t xml:space="preserve">Klucze do lochu</t>
  </si>
  <si>
    <t xml:space="preserve">2-3</t>
  </si>
  <si>
    <t xml:space="preserve">4-6</t>
  </si>
  <si>
    <t xml:space="preserve">7-9</t>
  </si>
  <si>
    <t xml:space="preserve">10+</t>
  </si>
  <si>
    <t xml:space="preserve">Dungeony — Tryb Multi-Dungeon</t>
  </si>
  <si>
    <t xml:space="preserve">Skalowanie trudności i nagród przy zużyciu wielokrotności kluczy (1x/3x/5x)</t>
  </si>
  <si>
    <t xml:space="preserve">Skalowanie statystyk potworów i skrzyń z bossa wg mnożnika</t>
  </si>
  <si>
    <t xml:space="preserve">Mnożnik wyprawy</t>
  </si>
  <si>
    <t xml:space="preserve">Staty potworów (%)</t>
  </si>
  <si>
    <t xml:space="preserve">Skrzynie z bossa (min)</t>
  </si>
  <si>
    <t xml:space="preserve">Skrzynie z bossa (max)</t>
  </si>
  <si>
    <t xml:space="preserve">1x</t>
  </si>
  <si>
    <t xml:space="preserve">3x</t>
  </si>
  <si>
    <t xml:space="preserve">5x</t>
  </si>
  <si>
    <t xml:space="preserve">Zakres skrzyń dla 3x obliczony proporcjonalnie do bazowego zakresu 1-3 (dokumentacja wprost potwierdza tylko przykład dla 5x = 5-15 skrzyń, reguła: bazowy zakres x mnożnik kluczy).</t>
  </si>
  <si>
    <t xml:space="preserve">Roadmapa Rozwoju</t>
  </si>
  <si>
    <t xml:space="preserve">Status 18 faz rozwoju gry wg docs/roadmap.md</t>
  </si>
  <si>
    <t xml:space="preserve">Fazy Rozwoju</t>
  </si>
  <si>
    <t xml:space="preserve">Faza</t>
  </si>
  <si>
    <t xml:space="preserve">Solidne Podstawy i Rdzeń Walki</t>
  </si>
  <si>
    <t xml:space="preserve">Zakończona</t>
  </si>
  <si>
    <t xml:space="preserve">Zarządzanie Ekwipunkiem</t>
  </si>
  <si>
    <t xml:space="preserve">Kuźnia i Ulepszenia (Metin2 Style)</t>
  </si>
  <si>
    <t xml:space="preserve">Czarodziej i Typy Potworów</t>
  </si>
  <si>
    <t xml:space="preserve">System Administracyjny (GUI) i Combat Power</t>
  </si>
  <si>
    <t xml:space="preserve">Czarownica i Warzenie Mikstur</t>
  </si>
  <si>
    <t xml:space="preserve">Gospodarka, Market i Poczta</t>
  </si>
  <si>
    <t xml:space="preserve">Aspekty Społecznościowe i Czat Globalny</t>
  </si>
  <si>
    <t xml:space="preserve">Rzemiosło i Zbieractwo (Crafting)</t>
  </si>
  <si>
    <t xml:space="preserve">Doskonalenie UI, Skalowalność i Optymalizacja</t>
  </si>
  <si>
    <t xml:space="preserve">Rozszerzenie PvE i Endgame (World Boss &amp; Dungeons)</t>
  </si>
  <si>
    <t xml:space="preserve">Player vs Player (PvP) i Wojny Gildii</t>
  </si>
  <si>
    <t xml:space="preserve">Przygotowanie UI do wersji mobilnej</t>
  </si>
  <si>
    <t xml:space="preserve">System Tutorialu i Wprowadzenie (Onboarding)</t>
  </si>
  <si>
    <t xml:space="preserve">System Questów (Tablica wyzwań)</t>
  </si>
  <si>
    <t xml:space="preserve">System Kolekcji, Osiągnięć i Tytułów</t>
  </si>
  <si>
    <t xml:space="preserve">Itemshop oraz Mikropłatności</t>
  </si>
  <si>
    <t xml:space="preserve">Planowana</t>
  </si>
  <si>
    <t xml:space="preserve">Ekonomia 2.0 i System Zawodów</t>
  </si>
  <si>
    <t xml:space="preserve">Podsumowanie statusu</t>
  </si>
  <si>
    <t xml:space="preserve">Zakończone</t>
  </si>
  <si>
    <t xml:space="preserve">Planowane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</si>
</sst>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"/>
    <numFmt numFmtId="167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2A78D6"/>
      <name val="Arial"/>
      <family val="0"/>
      <charset val="1"/>
    </font>
    <font>
      <sz val="16"/>
      <color rgb="FF52514E"/>
      <name val="Arial"/>
      <family val="0"/>
      <charset val="1"/>
    </font>
    <font>
      <i val="true"/>
      <sz val="11"/>
      <color rgb="FF89878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A78D6"/>
      <name val="Arial"/>
      <family val="0"/>
      <charset val="1"/>
    </font>
    <font>
      <sz val="10"/>
      <color rgb="FF52514E"/>
      <name val="Arial"/>
      <family val="0"/>
      <charset val="1"/>
    </font>
    <font>
      <i val="true"/>
      <sz val="9"/>
      <color rgb="FF898781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52514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B0B0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0B0B0B"/>
      <name val="Arial"/>
      <family val="0"/>
      <charset val="1"/>
    </font>
    <font>
      <i val="true"/>
      <sz val="8"/>
      <color rgb="FF89878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B6834"/>
        <bgColor rgb="FFE34948"/>
      </patternFill>
    </fill>
    <fill>
      <patternFill patternType="solid">
        <fgColor rgb="FF2A78D6"/>
        <bgColor rgb="FF4F81BD"/>
      </patternFill>
    </fill>
    <fill>
      <patternFill patternType="solid">
        <fgColor rgb="FFF4F7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A78D6"/>
          <bgColor rgb="FF000000"/>
        </patternFill>
      </fill>
    </dxf>
    <dxf>
      <fill>
        <patternFill patternType="solid">
          <fgColor rgb="FFF4F7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B0B0B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300"/>
      <rgbColor rgb="FF000080"/>
      <rgbColor rgb="FF808000"/>
      <rgbColor rgb="FF800080"/>
      <rgbColor rgb="FF008080"/>
      <rgbColor rgb="FFC0C0C0"/>
      <rgbColor rgb="FF878787"/>
      <rgbColor rgb="FF9999FF"/>
      <rgbColor rgb="FFE34948"/>
      <rgbColor rgb="FFF4F7FC"/>
      <rgbColor rgb="FFCCFFFF"/>
      <rgbColor rgb="FF660066"/>
      <rgbColor rgb="FFE87BA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0D9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EDA100"/>
      <rgbColor rgb="FFEB6834"/>
      <rgbColor rgb="FF4F81BD"/>
      <rgbColor rgb="FF898781"/>
      <rgbColor rgb="FF003366"/>
      <rgbColor rgb="FF1BAF7A"/>
      <rgbColor rgb="FF0B0B0B"/>
      <rgbColor rgb="FF333300"/>
      <rgbColor rgb="FF993300"/>
      <rgbColor rgb="FF993366"/>
      <rgbColor rgb="FF4A3AA7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Liczba udokumentowanych mechanik na moduł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'Przegląd Modułów'!E4</c:f>
              <c:strCache>
                <c:ptCount val="1"/>
                <c:pt idx="0">
                  <c:v>Liczba mechanik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'Przegląd Modułów'!$A$5:$A$30</c:f>
              <c:strCache>
                <c:ptCount val="26"/>
                <c:pt idx="0">
                  <c:v>Achievements &amp; Kolekcje</c:v>
                </c:pt>
                <c:pt idx="1">
                  <c:v>Kowal (Blacksmith)</c:v>
                </c:pt>
                <c:pt idx="2">
                  <c:v>Postacie (Characters)</c:v>
                </c:pt>
                <c:pt idx="3">
                  <c:v>Walka (Combat)</c:v>
                </c:pt>
                <c:pt idx="4">
                  <c:v>Dungeony</c:v>
                </c:pt>
                <c:pt idx="5">
                  <c:v>Gospodarka i Market</c:v>
                </c:pt>
                <c:pt idx="6">
                  <c:v>Globalny Czat</c:v>
                </c:pt>
                <c:pt idx="7">
                  <c:v>Gildie</c:v>
                </c:pt>
                <c:pt idx="8">
                  <c:v>Sklep Premium (Item Shop)</c:v>
                </c:pt>
                <c:pt idx="9">
                  <c:v>Łupy (Loot)</c:v>
                </c:pt>
                <c:pt idx="10">
                  <c:v>Poczta (Mail)</c:v>
                </c:pt>
                <c:pt idx="11">
                  <c:v>Handlarz (Merchant)</c:v>
                </c:pt>
                <c:pt idx="12">
                  <c:v>Lustro (Mirror)</c:v>
                </c:pt>
                <c:pt idx="13">
                  <c:v>Chowańce (Pets)</c:v>
                </c:pt>
                <c:pt idx="14">
                  <c:v>Profil i Ekwipunek</c:v>
                </c:pt>
                <c:pt idx="15">
                  <c:v>PvP i Arena</c:v>
                </c:pt>
                <c:pt idx="16">
                  <c:v>Questy (Tablica Wyzwań)</c:v>
                </c:pt>
                <c:pt idx="17">
                  <c:v>Ustawienia Gry</c:v>
                </c:pt>
                <c:pt idx="18">
                  <c:v>Umiejętności Bojowe (Skills)</c:v>
                </c:pt>
                <c:pt idx="19">
                  <c:v>Logowanie Społecznościowe</c:v>
                </c:pt>
                <c:pt idx="20">
                  <c:v>Samouczek (Tutorial)</c:v>
                </c:pt>
                <c:pt idx="21">
                  <c:v>Kuźnia (Upgrades)</c:v>
                </c:pt>
                <c:pt idx="22">
                  <c:v>Rankingi Tygodniowe</c:v>
                </c:pt>
                <c:pt idx="23">
                  <c:v>Wiedźma i Rzemiosło</c:v>
                </c:pt>
                <c:pt idx="24">
                  <c:v>Czarodziej (Wizard/Enchant)</c:v>
                </c:pt>
                <c:pt idx="25">
                  <c:v>Światowy Boss (World Boss)</c:v>
                </c:pt>
              </c:strCache>
            </c:strRef>
          </c:cat>
          <c:val>
            <c:numRef>
              <c:f>'Przegląd Modułów'!$E$5:$E$30</c:f>
              <c:numCache>
                <c:formatCode>General</c:formatCode>
                <c:ptCount val="2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11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6</c:v>
                </c:pt>
                <c:pt idx="12">
                  <c:v>5</c:v>
                </c:pt>
                <c:pt idx="13">
                  <c:v>13</c:v>
                </c:pt>
                <c:pt idx="14">
                  <c:v>6</c:v>
                </c:pt>
                <c:pt idx="15">
                  <c:v>5</c:v>
                </c:pt>
                <c:pt idx="16">
                  <c:v>4</c:v>
                </c:pt>
                <c:pt idx="17">
                  <c:v>2</c:v>
                </c:pt>
                <c:pt idx="18">
                  <c:v>9</c:v>
                </c:pt>
                <c:pt idx="19">
                  <c:v>3</c:v>
                </c:pt>
                <c:pt idx="20">
                  <c:v>5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7</c:v>
                </c:pt>
              </c:numCache>
            </c:numRef>
          </c:val>
        </c:ser>
        <c:gapWidth val="60"/>
        <c:overlap val="0"/>
        <c:axId val="47438561"/>
        <c:axId val="14296564"/>
      </c:barChart>
      <c:catAx>
        <c:axId val="4743856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Liczba mechanik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96564"/>
        <c:crosses val="autoZero"/>
        <c:auto val="1"/>
        <c:lblAlgn val="ctr"/>
        <c:lblOffset val="100"/>
        <c:noMultiLvlLbl val="0"/>
      </c:catAx>
      <c:valAx>
        <c:axId val="14296564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Moduł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385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Parametry liczbowe vs reguły tekstowe na moduł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'Przegląd Modułów'!F4</c:f>
              <c:strCache>
                <c:ptCount val="1"/>
                <c:pt idx="0">
                  <c:v>Parametry liczbowe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'Przegląd Modułów'!$A$5:$A$30</c:f>
              <c:strCache>
                <c:ptCount val="26"/>
                <c:pt idx="0">
                  <c:v>Achievements &amp; Kolekcje</c:v>
                </c:pt>
                <c:pt idx="1">
                  <c:v>Kowal (Blacksmith)</c:v>
                </c:pt>
                <c:pt idx="2">
                  <c:v>Postacie (Characters)</c:v>
                </c:pt>
                <c:pt idx="3">
                  <c:v>Walka (Combat)</c:v>
                </c:pt>
                <c:pt idx="4">
                  <c:v>Dungeony</c:v>
                </c:pt>
                <c:pt idx="5">
                  <c:v>Gospodarka i Market</c:v>
                </c:pt>
                <c:pt idx="6">
                  <c:v>Globalny Czat</c:v>
                </c:pt>
                <c:pt idx="7">
                  <c:v>Gildie</c:v>
                </c:pt>
                <c:pt idx="8">
                  <c:v>Sklep Premium (Item Shop)</c:v>
                </c:pt>
                <c:pt idx="9">
                  <c:v>Łupy (Loot)</c:v>
                </c:pt>
                <c:pt idx="10">
                  <c:v>Poczta (Mail)</c:v>
                </c:pt>
                <c:pt idx="11">
                  <c:v>Handlarz (Merchant)</c:v>
                </c:pt>
                <c:pt idx="12">
                  <c:v>Lustro (Mirror)</c:v>
                </c:pt>
                <c:pt idx="13">
                  <c:v>Chowańce (Pets)</c:v>
                </c:pt>
                <c:pt idx="14">
                  <c:v>Profil i Ekwipunek</c:v>
                </c:pt>
                <c:pt idx="15">
                  <c:v>PvP i Arena</c:v>
                </c:pt>
                <c:pt idx="16">
                  <c:v>Questy (Tablica Wyzwań)</c:v>
                </c:pt>
                <c:pt idx="17">
                  <c:v>Ustawienia Gry</c:v>
                </c:pt>
                <c:pt idx="18">
                  <c:v>Umiejętności Bojowe (Skills)</c:v>
                </c:pt>
                <c:pt idx="19">
                  <c:v>Logowanie Społecznościowe</c:v>
                </c:pt>
                <c:pt idx="20">
                  <c:v>Samouczek (Tutorial)</c:v>
                </c:pt>
                <c:pt idx="21">
                  <c:v>Kuźnia (Upgrades)</c:v>
                </c:pt>
                <c:pt idx="22">
                  <c:v>Rankingi Tygodniowe</c:v>
                </c:pt>
                <c:pt idx="23">
                  <c:v>Wiedźma i Rzemiosło</c:v>
                </c:pt>
                <c:pt idx="24">
                  <c:v>Czarodziej (Wizard/Enchant)</c:v>
                </c:pt>
                <c:pt idx="25">
                  <c:v>Światowy Boss (World Boss)</c:v>
                </c:pt>
              </c:strCache>
            </c:strRef>
          </c:cat>
          <c:val>
            <c:numRef>
              <c:f>'Przegląd Modułów'!$F$5:$F$30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30</c:v>
                </c:pt>
                <c:pt idx="4">
                  <c:v>5</c:v>
                </c:pt>
                <c:pt idx="5">
                  <c:v>5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  <c:pt idx="9">
                  <c:v>3</c:v>
                </c:pt>
                <c:pt idx="10">
                  <c:v>1</c:v>
                </c:pt>
                <c:pt idx="11">
                  <c:v>4</c:v>
                </c:pt>
                <c:pt idx="12">
                  <c:v>9</c:v>
                </c:pt>
                <c:pt idx="13">
                  <c:v>11</c:v>
                </c:pt>
                <c:pt idx="14">
                  <c:v>11</c:v>
                </c:pt>
                <c:pt idx="15">
                  <c:v>6</c:v>
                </c:pt>
                <c:pt idx="16">
                  <c:v>3</c:v>
                </c:pt>
                <c:pt idx="17">
                  <c:v>0</c:v>
                </c:pt>
                <c:pt idx="18">
                  <c:v>6</c:v>
                </c:pt>
                <c:pt idx="19">
                  <c:v>0</c:v>
                </c:pt>
                <c:pt idx="20">
                  <c:v>8</c:v>
                </c:pt>
                <c:pt idx="21">
                  <c:v>3</c:v>
                </c:pt>
                <c:pt idx="22">
                  <c:v>6</c:v>
                </c:pt>
                <c:pt idx="23">
                  <c:v>9</c:v>
                </c:pt>
                <c:pt idx="24">
                  <c:v>14</c:v>
                </c:pt>
                <c:pt idx="25">
                  <c:v>11</c:v>
                </c:pt>
              </c:numCache>
            </c:numRef>
          </c:val>
        </c:ser>
        <c:ser>
          <c:idx val="1"/>
          <c:order val="1"/>
          <c:tx>
            <c:strRef>
              <c:f>'Przegląd Modułów'!G4</c:f>
              <c:strCache>
                <c:ptCount val="1"/>
                <c:pt idx="0">
                  <c:v>Reguły tekstowe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'Przegląd Modułów'!$A$5:$A$30</c:f>
              <c:strCache>
                <c:ptCount val="26"/>
                <c:pt idx="0">
                  <c:v>Achievements &amp; Kolekcje</c:v>
                </c:pt>
                <c:pt idx="1">
                  <c:v>Kowal (Blacksmith)</c:v>
                </c:pt>
                <c:pt idx="2">
                  <c:v>Postacie (Characters)</c:v>
                </c:pt>
                <c:pt idx="3">
                  <c:v>Walka (Combat)</c:v>
                </c:pt>
                <c:pt idx="4">
                  <c:v>Dungeony</c:v>
                </c:pt>
                <c:pt idx="5">
                  <c:v>Gospodarka i Market</c:v>
                </c:pt>
                <c:pt idx="6">
                  <c:v>Globalny Czat</c:v>
                </c:pt>
                <c:pt idx="7">
                  <c:v>Gildie</c:v>
                </c:pt>
                <c:pt idx="8">
                  <c:v>Sklep Premium (Item Shop)</c:v>
                </c:pt>
                <c:pt idx="9">
                  <c:v>Łupy (Loot)</c:v>
                </c:pt>
                <c:pt idx="10">
                  <c:v>Poczta (Mail)</c:v>
                </c:pt>
                <c:pt idx="11">
                  <c:v>Handlarz (Merchant)</c:v>
                </c:pt>
                <c:pt idx="12">
                  <c:v>Lustro (Mirror)</c:v>
                </c:pt>
                <c:pt idx="13">
                  <c:v>Chowańce (Pets)</c:v>
                </c:pt>
                <c:pt idx="14">
                  <c:v>Profil i Ekwipunek</c:v>
                </c:pt>
                <c:pt idx="15">
                  <c:v>PvP i Arena</c:v>
                </c:pt>
                <c:pt idx="16">
                  <c:v>Questy (Tablica Wyzwań)</c:v>
                </c:pt>
                <c:pt idx="17">
                  <c:v>Ustawienia Gry</c:v>
                </c:pt>
                <c:pt idx="18">
                  <c:v>Umiejętności Bojowe (Skills)</c:v>
                </c:pt>
                <c:pt idx="19">
                  <c:v>Logowanie Społecznościowe</c:v>
                </c:pt>
                <c:pt idx="20">
                  <c:v>Samouczek (Tutorial)</c:v>
                </c:pt>
                <c:pt idx="21">
                  <c:v>Kuźnia (Upgrades)</c:v>
                </c:pt>
                <c:pt idx="22">
                  <c:v>Rankingi Tygodniowe</c:v>
                </c:pt>
                <c:pt idx="23">
                  <c:v>Wiedźma i Rzemiosło</c:v>
                </c:pt>
                <c:pt idx="24">
                  <c:v>Czarodziej (Wizard/Enchant)</c:v>
                </c:pt>
                <c:pt idx="25">
                  <c:v>Światowy Boss (World Boss)</c:v>
                </c:pt>
              </c:strCache>
            </c:strRef>
          </c:cat>
          <c:val>
            <c:numRef>
              <c:f>'Przegląd Modułów'!$G$5:$G$30</c:f>
              <c:numCache>
                <c:formatCode>General</c:formatCode>
                <c:ptCount val="26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5</c:v>
                </c:pt>
                <c:pt idx="14">
                  <c:v>4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</c:numCache>
            </c:numRef>
          </c:val>
        </c:ser>
        <c:gapWidth val="60"/>
        <c:overlap val="100"/>
        <c:axId val="48164845"/>
        <c:axId val="69497029"/>
      </c:barChart>
      <c:catAx>
        <c:axId val="4816484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Liczba wpisów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97029"/>
        <c:crosses val="autoZero"/>
        <c:auto val="1"/>
        <c:lblAlgn val="ctr"/>
        <c:lblOffset val="100"/>
        <c:noMultiLvlLbl val="0"/>
      </c:catAx>
      <c:valAx>
        <c:axId val="69497029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Moduł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648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Wymagany poziom postaci wg modułu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'Poziomy i Progresja'!B5</c:f>
              <c:strCache>
                <c:ptCount val="1"/>
                <c:pt idx="0">
                  <c:v>Wymagany poziom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'Poziomy i Progresja'!$A$6:$A$9</c:f>
              <c:strCache>
                <c:ptCount val="4"/>
                <c:pt idx="0">
                  <c:v>Tablica Wyzwań (Questy)</c:v>
                </c:pt>
                <c:pt idx="1">
                  <c:v>Gildia</c:v>
                </c:pt>
                <c:pt idx="2">
                  <c:v>Arena PvP / Sklep Gladiatora</c:v>
                </c:pt>
                <c:pt idx="3">
                  <c:v>Lustro (Profil + Wiedźma)</c:v>
                </c:pt>
              </c:strCache>
            </c:strRef>
          </c:cat>
          <c:val>
            <c:numRef>
              <c:f>'Poziomy i Progresja'!$B$6:$B$9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</c:numCache>
            </c:numRef>
          </c:val>
        </c:ser>
        <c:gapWidth val="60"/>
        <c:overlap val="0"/>
        <c:axId val="21704448"/>
        <c:axId val="42355378"/>
      </c:barChart>
      <c:catAx>
        <c:axId val="2170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55378"/>
        <c:crosses val="autoZero"/>
        <c:auto val="1"/>
        <c:lblAlgn val="ctr"/>
        <c:lblOffset val="100"/>
        <c:noMultiLvlLbl val="0"/>
      </c:catAx>
      <c:valAx>
        <c:axId val="42355378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Poziom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044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Wymagane XP na poziom (skala logarytmiczna osi 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'Poziomy i Progresja'!B13</c:f>
              <c:strCache>
                <c:ptCount val="1"/>
                <c:pt idx="0">
                  <c:v>Wymagane XP (formuła)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'Poziomy i Progresja'!$A$14:$A$112</c:f>
              <c:strCach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strCache>
            </c:strRef>
          </c:cat>
          <c:val>
            <c:numRef>
              <c:f>'Poziomy i Progresja'!$B$14:$B$112</c:f>
              <c:numCache>
                <c:formatCode>#,##0</c:formatCode>
                <c:ptCount val="99"/>
                <c:pt idx="0">
                  <c:v>65.15</c:v>
                </c:pt>
                <c:pt idx="1">
                  <c:v>162.572256310087</c:v>
                </c:pt>
                <c:pt idx="2">
                  <c:v>298.560896564512</c:v>
                </c:pt>
                <c:pt idx="3">
                  <c:v>484.110016831886</c:v>
                </c:pt>
                <c:pt idx="4">
                  <c:v>735.120525914502</c:v>
                </c:pt>
                <c:pt idx="5">
                  <c:v>1072.5473450567</c:v>
                </c:pt>
                <c:pt idx="6">
                  <c:v>1522.51527796067</c:v>
                </c:pt>
                <c:pt idx="7">
                  <c:v>2116.41512755912</c:v>
                </c:pt>
                <c:pt idx="8">
                  <c:v>2890.98610422261</c:v>
                </c:pt>
                <c:pt idx="9">
                  <c:v>3888.38811769125</c:v>
                </c:pt>
                <c:pt idx="10">
                  <c:v>5156.26627424375</c:v>
                </c:pt>
                <c:pt idx="11">
                  <c:v>6747.80917144059</c:v>
                </c:pt>
                <c:pt idx="12">
                  <c:v>8721.8021326582</c:v>
                </c:pt>
                <c:pt idx="13">
                  <c:v>11142.676229959</c:v>
                </c:pt>
                <c:pt idx="14">
                  <c:v>14080.5537437081</c:v>
                </c:pt>
                <c:pt idx="15">
                  <c:v>17611.2905660618</c:v>
                </c:pt>
                <c:pt idx="16">
                  <c:v>21816.5159527546</c:v>
                </c:pt>
                <c:pt idx="17">
                  <c:v>26783.6699511048</c:v>
                </c:pt>
                <c:pt idx="18">
                  <c:v>32606.0387739548</c:v>
                </c:pt>
                <c:pt idx="19">
                  <c:v>39382.7883441655</c:v>
                </c:pt>
                <c:pt idx="20">
                  <c:v>47218.9961987889</c:v>
                </c:pt>
                <c:pt idx="21">
                  <c:v>56225.681913712</c:v>
                </c:pt>
                <c:pt idx="22">
                  <c:v>66519.836186661</c:v>
                </c:pt>
                <c:pt idx="23">
                  <c:v>78224.4486977418</c:v>
                </c:pt>
                <c:pt idx="24">
                  <c:v>91468.534851243</c:v>
                </c:pt>
                <c:pt idx="25">
                  <c:v>106387.161489558</c:v>
                </c:pt>
                <c:pt idx="26">
                  <c:v>123121.471659278</c:v>
                </c:pt>
                <c:pt idx="27">
                  <c:v>141818.70850035</c:v>
                </c:pt>
                <c:pt idx="28">
                  <c:v>162632.238321416</c:v>
                </c:pt>
                <c:pt idx="29">
                  <c:v>185721.572917763</c:v>
                </c:pt>
                <c:pt idx="30">
                  <c:v>211252.391182527</c:v>
                </c:pt>
                <c:pt idx="31">
                  <c:v>239396.560056839</c:v>
                </c:pt>
                <c:pt idx="32">
                  <c:v>270332.1548602</c:v>
                </c:pt>
                <c:pt idx="33">
                  <c:v>304243.479038582</c:v>
                </c:pt>
                <c:pt idx="34">
                  <c:v>341321.083364389</c:v>
                </c:pt>
                <c:pt idx="35">
                  <c:v>381761.784619452</c:v>
                </c:pt>
                <c:pt idx="36">
                  <c:v>425768.683789594</c:v>
                </c:pt>
                <c:pt idx="37">
                  <c:v>473551.183796971</c:v>
                </c:pt>
                <c:pt idx="38">
                  <c:v>525325.006794313</c:v>
                </c:pt>
                <c:pt idx="39">
                  <c:v>581312.211043298</c:v>
                </c:pt>
                <c:pt idx="40">
                  <c:v>641741.207397649</c:v>
                </c:pt>
                <c:pt idx="41">
                  <c:v>706846.775409973</c:v>
                </c:pt>
                <c:pt idx="42">
                  <c:v>776870.079080069</c:v>
                </c:pt>
                <c:pt idx="43">
                  <c:v>852058.682261119</c:v>
                </c:pt>
                <c:pt idx="44">
                  <c:v>932666.5637391</c:v>
                </c:pt>
                <c:pt idx="45">
                  <c:v>1018954.13199972</c:v>
                </c:pt>
                <c:pt idx="46">
                  <c:v>1111188.23969623</c:v>
                </c:pt>
                <c:pt idx="47">
                  <c:v>1209642.19783063</c:v>
                </c:pt>
                <c:pt idx="48">
                  <c:v>1314595.78966001</c:v>
                </c:pt>
                <c:pt idx="49">
                  <c:v>1426335.28433904</c:v>
                </c:pt>
                <c:pt idx="50">
                  <c:v>1545153.4503089</c:v>
                </c:pt>
                <c:pt idx="51">
                  <c:v>1671349.56844251</c:v>
                </c:pt>
                <c:pt idx="52">
                  <c:v>1805229.44495514</c:v>
                </c:pt>
                <c:pt idx="53">
                  <c:v>1947105.42408913</c:v>
                </c:pt>
                <c:pt idx="54">
                  <c:v>2097296.40058089</c:v>
                </c:pt>
                <c:pt idx="55">
                  <c:v>2256127.83191788</c:v>
                </c:pt>
                <c:pt idx="56">
                  <c:v>2423931.75039299</c:v>
                </c:pt>
                <c:pt idx="57">
                  <c:v>2601046.77496318</c:v>
                </c:pt>
                <c:pt idx="58">
                  <c:v>2787818.12291903</c:v>
                </c:pt>
                <c:pt idx="59">
                  <c:v>2984597.62137141</c:v>
                </c:pt>
                <c:pt idx="60">
                  <c:v>3191743.71856123</c:v>
                </c:pt>
                <c:pt idx="61">
                  <c:v>3409621.49499802</c:v>
                </c:pt>
                <c:pt idx="62">
                  <c:v>3638602.67443249</c:v>
                </c:pt>
                <c:pt idx="63">
                  <c:v>3879065.63466849</c:v>
                </c:pt>
                <c:pt idx="64">
                  <c:v>4131395.41821903</c:v>
                </c:pt>
                <c:pt idx="65">
                  <c:v>4395983.74281119</c:v>
                </c:pt>
                <c:pt idx="66">
                  <c:v>4673229.01174421</c:v>
                </c:pt>
                <c:pt idx="67">
                  <c:v>4963536.32410525</c:v>
                </c:pt>
                <c:pt idx="68">
                  <c:v>5267317.48484665</c:v>
                </c:pt>
                <c:pt idx="69">
                  <c:v>5584991.01472875</c:v>
                </c:pt>
                <c:pt idx="70">
                  <c:v>5916982.16013197</c:v>
                </c:pt>
                <c:pt idx="71">
                  <c:v>6263722.90274166</c:v>
                </c:pt>
                <c:pt idx="72">
                  <c:v>6625651.96910929</c:v>
                </c:pt>
                <c:pt idx="73">
                  <c:v>7003214.84009309</c:v>
                </c:pt>
                <c:pt idx="74">
                  <c:v>7396863.76018148</c:v>
                </c:pt>
                <c:pt idx="75">
                  <c:v>7807057.74670216</c:v>
                </c:pt>
                <c:pt idx="76">
                  <c:v>8234262.59891997</c:v>
                </c:pt>
                <c:pt idx="77">
                  <c:v>8678950.90702609</c:v>
                </c:pt>
                <c:pt idx="78">
                  <c:v>9141602.06102146</c:v>
                </c:pt>
                <c:pt idx="79">
                  <c:v>9622702.25949697</c:v>
                </c:pt>
                <c:pt idx="80">
                  <c:v>10122744.5183129</c:v>
                </c:pt>
                <c:pt idx="81">
                  <c:v>10642228.67918</c:v>
                </c:pt>
                <c:pt idx="82">
                  <c:v>11181661.4181445</c:v>
                </c:pt>
                <c:pt idx="83">
                  <c:v>11741556.2539796</c:v>
                </c:pt>
                <c:pt idx="84">
                  <c:v>12322433.5564851</c:v>
                </c:pt>
                <c:pt idx="85">
                  <c:v>12924820.5796975</c:v>
                </c:pt>
                <c:pt idx="86">
                  <c:v>13549252.4763836</c:v>
                </c:pt>
                <c:pt idx="87">
                  <c:v>14196277.4214323</c:v>
                </c:pt>
                <c:pt idx="88">
                  <c:v>14866466.2724725</c:v>
                </c:pt>
                <c:pt idx="89">
                  <c:v>15560425.3039345</c:v>
                </c:pt>
                <c:pt idx="90">
                  <c:v>16278811.3413605</c:v>
                </c:pt>
                <c:pt idx="91">
                  <c:v>17022348.9514254</c:v>
                </c:pt>
                <c:pt idx="92">
                  <c:v>17791849.4620314</c:v>
                </c:pt>
                <c:pt idx="93">
                  <c:v>18588231.6489317</c:v>
                </c:pt>
                <c:pt idx="94">
                  <c:v>19412543.963022</c:v>
                </c:pt>
                <c:pt idx="95">
                  <c:v>20265988.1974554</c:v>
                </c:pt>
                <c:pt idx="96">
                  <c:v>21149944.5113759</c:v>
                </c:pt>
                <c:pt idx="97">
                  <c:v>22065997.7400724</c:v>
                </c:pt>
                <c:pt idx="98">
                  <c:v>23015964.93128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844626"/>
        <c:axId val="74412747"/>
      </c:lineChart>
      <c:catAx>
        <c:axId val="568446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Poziom postaci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12747"/>
        <c:crosses val="autoZero"/>
        <c:auto val="1"/>
        <c:lblAlgn val="ctr"/>
        <c:lblOffset val="100"/>
        <c:noMultiLvlLbl val="0"/>
      </c:catAx>
      <c:valAx>
        <c:axId val="74412747"/>
        <c:scaling>
          <c:logBase val="10"/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XP (log)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446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Skumulowane Punkty Postaci vs Punkty Umiejętności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'Poziomy i Progresja'!C13</c:f>
              <c:strCache>
                <c:ptCount val="1"/>
                <c:pt idx="0">
                  <c:v>Punkty Postaci (skumulowane)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'Poziomy i Progresja'!$A$14:$A$112</c:f>
              <c:strCach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strCache>
            </c:strRef>
          </c:cat>
          <c:val>
            <c:numRef>
              <c:f>'Poziomy i Progresja'!$C$14:$C$112</c:f>
              <c:numCache>
                <c:formatCode>General</c:formatCode>
                <c:ptCount val="99"/>
                <c:pt idx="0">
                  <c:v>10</c:v>
                </c:pt>
                <c:pt idx="1">
                  <c:v>13</c:v>
                </c:pt>
                <c:pt idx="2">
                  <c:v>16</c:v>
                </c:pt>
                <c:pt idx="3">
                  <c:v>19</c:v>
                </c:pt>
                <c:pt idx="4">
                  <c:v>22</c:v>
                </c:pt>
                <c:pt idx="5">
                  <c:v>25</c:v>
                </c:pt>
                <c:pt idx="6">
                  <c:v>28</c:v>
                </c:pt>
                <c:pt idx="7">
                  <c:v>31</c:v>
                </c:pt>
                <c:pt idx="8">
                  <c:v>34</c:v>
                </c:pt>
                <c:pt idx="9">
                  <c:v>37</c:v>
                </c:pt>
                <c:pt idx="10">
                  <c:v>40</c:v>
                </c:pt>
                <c:pt idx="11">
                  <c:v>43</c:v>
                </c:pt>
                <c:pt idx="12">
                  <c:v>46</c:v>
                </c:pt>
                <c:pt idx="13">
                  <c:v>49</c:v>
                </c:pt>
                <c:pt idx="14">
                  <c:v>52</c:v>
                </c:pt>
                <c:pt idx="15">
                  <c:v>55</c:v>
                </c:pt>
                <c:pt idx="16">
                  <c:v>58</c:v>
                </c:pt>
                <c:pt idx="17">
                  <c:v>61</c:v>
                </c:pt>
                <c:pt idx="18">
                  <c:v>64</c:v>
                </c:pt>
                <c:pt idx="19">
                  <c:v>67</c:v>
                </c:pt>
                <c:pt idx="20">
                  <c:v>70</c:v>
                </c:pt>
                <c:pt idx="21">
                  <c:v>73</c:v>
                </c:pt>
                <c:pt idx="22">
                  <c:v>76</c:v>
                </c:pt>
                <c:pt idx="23">
                  <c:v>79</c:v>
                </c:pt>
                <c:pt idx="24">
                  <c:v>82</c:v>
                </c:pt>
                <c:pt idx="25">
                  <c:v>85</c:v>
                </c:pt>
                <c:pt idx="26">
                  <c:v>88</c:v>
                </c:pt>
                <c:pt idx="27">
                  <c:v>91</c:v>
                </c:pt>
                <c:pt idx="28">
                  <c:v>94</c:v>
                </c:pt>
                <c:pt idx="29">
                  <c:v>97</c:v>
                </c:pt>
                <c:pt idx="30">
                  <c:v>100</c:v>
                </c:pt>
                <c:pt idx="31">
                  <c:v>103</c:v>
                </c:pt>
                <c:pt idx="32">
                  <c:v>106</c:v>
                </c:pt>
                <c:pt idx="33">
                  <c:v>109</c:v>
                </c:pt>
                <c:pt idx="34">
                  <c:v>112</c:v>
                </c:pt>
                <c:pt idx="35">
                  <c:v>115</c:v>
                </c:pt>
                <c:pt idx="36">
                  <c:v>118</c:v>
                </c:pt>
                <c:pt idx="37">
                  <c:v>121</c:v>
                </c:pt>
                <c:pt idx="38">
                  <c:v>124</c:v>
                </c:pt>
                <c:pt idx="39">
                  <c:v>127</c:v>
                </c:pt>
                <c:pt idx="40">
                  <c:v>130</c:v>
                </c:pt>
                <c:pt idx="41">
                  <c:v>133</c:v>
                </c:pt>
                <c:pt idx="42">
                  <c:v>136</c:v>
                </c:pt>
                <c:pt idx="43">
                  <c:v>139</c:v>
                </c:pt>
                <c:pt idx="44">
                  <c:v>142</c:v>
                </c:pt>
                <c:pt idx="45">
                  <c:v>145</c:v>
                </c:pt>
                <c:pt idx="46">
                  <c:v>148</c:v>
                </c:pt>
                <c:pt idx="47">
                  <c:v>151</c:v>
                </c:pt>
                <c:pt idx="48">
                  <c:v>154</c:v>
                </c:pt>
                <c:pt idx="49">
                  <c:v>157</c:v>
                </c:pt>
                <c:pt idx="50">
                  <c:v>160</c:v>
                </c:pt>
                <c:pt idx="51">
                  <c:v>163</c:v>
                </c:pt>
                <c:pt idx="52">
                  <c:v>166</c:v>
                </c:pt>
                <c:pt idx="53">
                  <c:v>169</c:v>
                </c:pt>
                <c:pt idx="54">
                  <c:v>172</c:v>
                </c:pt>
                <c:pt idx="55">
                  <c:v>175</c:v>
                </c:pt>
                <c:pt idx="56">
                  <c:v>178</c:v>
                </c:pt>
                <c:pt idx="57">
                  <c:v>181</c:v>
                </c:pt>
                <c:pt idx="58">
                  <c:v>184</c:v>
                </c:pt>
                <c:pt idx="59">
                  <c:v>187</c:v>
                </c:pt>
                <c:pt idx="60">
                  <c:v>190</c:v>
                </c:pt>
                <c:pt idx="61">
                  <c:v>193</c:v>
                </c:pt>
                <c:pt idx="62">
                  <c:v>196</c:v>
                </c:pt>
                <c:pt idx="63">
                  <c:v>199</c:v>
                </c:pt>
                <c:pt idx="64">
                  <c:v>202</c:v>
                </c:pt>
                <c:pt idx="65">
                  <c:v>205</c:v>
                </c:pt>
                <c:pt idx="66">
                  <c:v>208</c:v>
                </c:pt>
                <c:pt idx="67">
                  <c:v>211</c:v>
                </c:pt>
                <c:pt idx="68">
                  <c:v>214</c:v>
                </c:pt>
                <c:pt idx="69">
                  <c:v>217</c:v>
                </c:pt>
                <c:pt idx="70">
                  <c:v>220</c:v>
                </c:pt>
                <c:pt idx="71">
                  <c:v>223</c:v>
                </c:pt>
                <c:pt idx="72">
                  <c:v>226</c:v>
                </c:pt>
                <c:pt idx="73">
                  <c:v>229</c:v>
                </c:pt>
                <c:pt idx="74">
                  <c:v>232</c:v>
                </c:pt>
                <c:pt idx="75">
                  <c:v>235</c:v>
                </c:pt>
                <c:pt idx="76">
                  <c:v>238</c:v>
                </c:pt>
                <c:pt idx="77">
                  <c:v>241</c:v>
                </c:pt>
                <c:pt idx="78">
                  <c:v>244</c:v>
                </c:pt>
                <c:pt idx="79">
                  <c:v>247</c:v>
                </c:pt>
                <c:pt idx="80">
                  <c:v>250</c:v>
                </c:pt>
                <c:pt idx="81">
                  <c:v>253</c:v>
                </c:pt>
                <c:pt idx="82">
                  <c:v>256</c:v>
                </c:pt>
                <c:pt idx="83">
                  <c:v>259</c:v>
                </c:pt>
                <c:pt idx="84">
                  <c:v>262</c:v>
                </c:pt>
                <c:pt idx="85">
                  <c:v>265</c:v>
                </c:pt>
                <c:pt idx="86">
                  <c:v>268</c:v>
                </c:pt>
                <c:pt idx="87">
                  <c:v>271</c:v>
                </c:pt>
                <c:pt idx="88">
                  <c:v>274</c:v>
                </c:pt>
                <c:pt idx="89">
                  <c:v>277</c:v>
                </c:pt>
                <c:pt idx="90">
                  <c:v>280</c:v>
                </c:pt>
                <c:pt idx="91">
                  <c:v>283</c:v>
                </c:pt>
                <c:pt idx="92">
                  <c:v>286</c:v>
                </c:pt>
                <c:pt idx="93">
                  <c:v>289</c:v>
                </c:pt>
                <c:pt idx="94">
                  <c:v>292</c:v>
                </c:pt>
                <c:pt idx="95">
                  <c:v>295</c:v>
                </c:pt>
                <c:pt idx="96">
                  <c:v>298</c:v>
                </c:pt>
                <c:pt idx="97">
                  <c:v>301</c:v>
                </c:pt>
                <c:pt idx="98">
                  <c:v>304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'Poziomy i Progresja'!D13</c:f>
              <c:strCache>
                <c:ptCount val="1"/>
                <c:pt idx="0">
                  <c:v>Punkty Umiejętności (skumulowane)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'Poziomy i Progresja'!$A$14:$A$112</c:f>
              <c:strCach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strCache>
            </c:strRef>
          </c:cat>
          <c:val>
            <c:numRef>
              <c:f>'Poziomy i Progresja'!$D$14:$D$112</c:f>
              <c:numCache>
                <c:formatCode>General</c:formatCode>
                <c:ptCount val="9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825154"/>
        <c:axId val="58364955"/>
      </c:lineChart>
      <c:catAx>
        <c:axId val="868251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Poziom postaci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64955"/>
        <c:crosses val="autoZero"/>
        <c:auto val="1"/>
        <c:lblAlgn val="ctr"/>
        <c:lblOffset val="100"/>
        <c:noMultiLvlLbl val="0"/>
      </c:catAx>
      <c:valAx>
        <c:axId val="58364955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Punkty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251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Twarde limity (%) w walce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'Walka - Parametry'!B5</c:f>
              <c:strCache>
                <c:ptCount val="1"/>
                <c:pt idx="0">
                  <c:v>Wartość (%)</c:v>
                </c:pt>
              </c:strCache>
            </c:strRef>
          </c:tx>
          <c:spPr>
            <a:solidFill>
              <a:srgbClr val="e3494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'Walka - Parametry'!$A$6:$A$8</c:f>
              <c:strCache>
                <c:ptCount val="3"/>
                <c:pt idx="0">
                  <c:v>Krytyk - hard cap (gracz)</c:v>
                </c:pt>
                <c:pt idx="1">
                  <c:v>Krytyk - hard cap (potwór)</c:v>
                </c:pt>
                <c:pt idx="2">
                  <c:v>Unik (dodge) - hard cap</c:v>
                </c:pt>
              </c:strCache>
            </c:strRef>
          </c:cat>
          <c:val>
            <c:numRef>
              <c:f>'Walka - Parametry'!$B$6:$B$8</c:f>
              <c:numCache>
                <c:formatCode>General</c:formatCode>
                <c:ptCount val="3"/>
                <c:pt idx="0">
                  <c:v>100</c:v>
                </c:pt>
                <c:pt idx="1">
                  <c:v>30</c:v>
                </c:pt>
                <c:pt idx="2">
                  <c:v>30</c:v>
                </c:pt>
              </c:numCache>
            </c:numRef>
          </c:val>
        </c:ser>
        <c:gapWidth val="60"/>
        <c:overlap val="0"/>
        <c:axId val="40217338"/>
        <c:axId val="87786338"/>
      </c:barChart>
      <c:catAx>
        <c:axId val="402173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86338"/>
        <c:crosses val="autoZero"/>
        <c:auto val="1"/>
        <c:lblAlgn val="ctr"/>
        <c:lblOffset val="100"/>
        <c:noMultiLvlLbl val="0"/>
      </c:catAx>
      <c:valAx>
        <c:axId val="87786338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173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Mnożnik staty potwora wg różnicy poziomów (+10%/poziom)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'Walka - Parametry'!B11</c:f>
              <c:strCache>
                <c:ptCount val="1"/>
                <c:pt idx="0">
                  <c:v>Mnożnik staty potwora</c:v>
                </c:pt>
              </c:strCache>
            </c:strRef>
          </c:tx>
          <c:spPr>
            <a:solidFill>
              <a:srgbClr val="4a3aa7"/>
            </a:solidFill>
            <a:ln w="21960">
              <a:solidFill>
                <a:srgbClr val="4a3aa7"/>
              </a:solidFill>
              <a:round/>
            </a:ln>
          </c:spPr>
          <c:marker>
            <c:symbol val="circle"/>
            <c:size val="5"/>
            <c:spPr>
              <a:solidFill>
                <a:srgbClr val="4a3aa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'Walka - Parametry'!$A$12:$A$32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'Walka - Parametry'!$B$12:$B$32</c:f>
              <c:numCache>
                <c:formatCode>0%</c:formatCode>
                <c:ptCount val="21"/>
                <c:pt idx="0">
                  <c:v>1</c:v>
                </c:pt>
                <c:pt idx="1">
                  <c:v>1.1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</c:v>
                </c:pt>
                <c:pt idx="13">
                  <c:v>2.3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437994"/>
        <c:axId val="25287247"/>
      </c:lineChart>
      <c:catAx>
        <c:axId val="384379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Różnica poziomów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87247"/>
        <c:crosses val="autoZero"/>
        <c:auto val="1"/>
        <c:lblAlgn val="ctr"/>
        <c:lblOffset val="100"/>
        <c:noMultiLvlLbl val="0"/>
      </c:catAx>
      <c:valAx>
        <c:axId val="25287247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Mnożnik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379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Waga atrybutu w obrażeniach wg typu broni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'Walka - Parametry'!B35</c:f>
              <c:strCache>
                <c:ptCount val="1"/>
                <c:pt idx="0">
                  <c:v>STR (waga)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'Walka - Parametry'!$A$36:$A$42</c:f>
              <c:strCache>
                <c:ptCount val="7"/>
                <c:pt idx="0">
                  <c:v>Miecz (sword)</c:v>
                </c:pt>
                <c:pt idx="1">
                  <c:v>Topór (axe)</c:v>
                </c:pt>
                <c:pt idx="2">
                  <c:v>Łuk (bow)</c:v>
                </c:pt>
                <c:pt idx="3">
                  <c:v>Sztylet (dagger)</c:v>
                </c:pt>
                <c:pt idx="4">
                  <c:v>Dzwon (bell)</c:v>
                </c:pt>
                <c:pt idx="5">
                  <c:v>Różdżka (wand)</c:v>
                </c:pt>
                <c:pt idx="6">
                  <c:v>Pięści (barehands)</c:v>
                </c:pt>
              </c:strCache>
            </c:strRef>
          </c:cat>
          <c:val>
            <c:numRef>
              <c:f>'Walka - Parametry'!$B$36:$B$42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</c:ser>
        <c:ser>
          <c:idx val="1"/>
          <c:order val="1"/>
          <c:tx>
            <c:strRef>
              <c:f>'Walka - Parametry'!C35</c:f>
              <c:strCache>
                <c:ptCount val="1"/>
                <c:pt idx="0">
                  <c:v>INT (waga)</c:v>
                </c:pt>
              </c:strCache>
            </c:strRef>
          </c:tx>
          <c:spPr>
            <a:solidFill>
              <a:srgbClr val="4a3aa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'Walka - Parametry'!$A$36:$A$42</c:f>
              <c:strCache>
                <c:ptCount val="7"/>
                <c:pt idx="0">
                  <c:v>Miecz (sword)</c:v>
                </c:pt>
                <c:pt idx="1">
                  <c:v>Topór (axe)</c:v>
                </c:pt>
                <c:pt idx="2">
                  <c:v>Łuk (bow)</c:v>
                </c:pt>
                <c:pt idx="3">
                  <c:v>Sztylet (dagger)</c:v>
                </c:pt>
                <c:pt idx="4">
                  <c:v>Dzwon (bell)</c:v>
                </c:pt>
                <c:pt idx="5">
                  <c:v>Różdżka (wand)</c:v>
                </c:pt>
                <c:pt idx="6">
                  <c:v>Pięści (barehands)</c:v>
                </c:pt>
              </c:strCache>
            </c:strRef>
          </c:cat>
          <c:val>
            <c:numRef>
              <c:f>'Walka - Parametry'!$C$36:$C$42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'Walka - Parametry'!D35</c:f>
              <c:strCache>
                <c:ptCount val="1"/>
                <c:pt idx="0">
                  <c:v>AGI (waga)</c:v>
                </c:pt>
              </c:strCache>
            </c:strRef>
          </c:tx>
          <c:spPr>
            <a:solidFill>
              <a:srgbClr val="1baf7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'Walka - Parametry'!$A$36:$A$42</c:f>
              <c:strCache>
                <c:ptCount val="7"/>
                <c:pt idx="0">
                  <c:v>Miecz (sword)</c:v>
                </c:pt>
                <c:pt idx="1">
                  <c:v>Topór (axe)</c:v>
                </c:pt>
                <c:pt idx="2">
                  <c:v>Łuk (bow)</c:v>
                </c:pt>
                <c:pt idx="3">
                  <c:v>Sztylet (dagger)</c:v>
                </c:pt>
                <c:pt idx="4">
                  <c:v>Dzwon (bell)</c:v>
                </c:pt>
                <c:pt idx="5">
                  <c:v>Różdżka (wand)</c:v>
                </c:pt>
                <c:pt idx="6">
                  <c:v>Pięści (barehands)</c:v>
                </c:pt>
              </c:strCache>
            </c:strRef>
          </c:cat>
          <c:val>
            <c:numRef>
              <c:f>'Walka - Parametry'!$D$36:$D$42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60"/>
        <c:overlap val="100"/>
        <c:axId val="53458977"/>
        <c:axId val="22132815"/>
      </c:barChart>
      <c:catAx>
        <c:axId val="5345897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Waga (x STR/INT/AGI)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32815"/>
        <c:crosses val="autoZero"/>
        <c:auto val="1"/>
        <c:lblAlgn val="ctr"/>
        <c:lblOffset val="100"/>
        <c:noMultiLvlLbl val="0"/>
      </c:catAx>
      <c:valAx>
        <c:axId val="22132815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Broń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589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HP = 100+VIT*15+Lvl*5  •  Mana = 50+INT*10+Lvl*3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'Walka - Parametry'!B45</c:f>
              <c:strCache>
                <c:ptCount val="1"/>
                <c:pt idx="0">
                  <c:v>HP (pkt)</c:v>
                </c:pt>
              </c:strCache>
            </c:strRef>
          </c:tx>
          <c:spPr>
            <a:solidFill>
              <a:srgbClr val="e3494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'Walka - Parametry'!$A$46:$A$48</c:f>
              <c:strCache>
                <c:ptCount val="3"/>
                <c:pt idx="0">
                  <c:v>Baza</c:v>
                </c:pt>
                <c:pt idx="1">
                  <c:v>Za punkt atrybutu (VIT / INT)</c:v>
                </c:pt>
                <c:pt idx="2">
                  <c:v>Za poziom postaci</c:v>
                </c:pt>
              </c:strCache>
            </c:strRef>
          </c:cat>
          <c:val>
            <c:numRef>
              <c:f>'Walka - Parametry'!$B$46:$B$48</c:f>
              <c:numCache>
                <c:formatCode>General</c:formatCode>
                <c:ptCount val="3"/>
                <c:pt idx="0">
                  <c:v>100</c:v>
                </c:pt>
                <c:pt idx="1">
                  <c:v>15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'Walka - Parametry'!C45</c:f>
              <c:strCache>
                <c:ptCount val="1"/>
                <c:pt idx="0">
                  <c:v>Mana (pkt)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'Walka - Parametry'!$A$46:$A$48</c:f>
              <c:strCache>
                <c:ptCount val="3"/>
                <c:pt idx="0">
                  <c:v>Baza</c:v>
                </c:pt>
                <c:pt idx="1">
                  <c:v>Za punkt atrybutu (VIT / INT)</c:v>
                </c:pt>
                <c:pt idx="2">
                  <c:v>Za poziom postaci</c:v>
                </c:pt>
              </c:strCache>
            </c:strRef>
          </c:cat>
          <c:val>
            <c:numRef>
              <c:f>'Walka - Parametry'!$C$46:$C$48</c:f>
              <c:numCache>
                <c:formatCode>General</c:formatCode>
                <c:ptCount val="3"/>
                <c:pt idx="0">
                  <c:v>50</c:v>
                </c:pt>
                <c:pt idx="1">
                  <c:v>10</c:v>
                </c:pt>
                <c:pt idx="2">
                  <c:v>3</c:v>
                </c:pt>
              </c:numCache>
            </c:numRef>
          </c:val>
        </c:ser>
        <c:gapWidth val="60"/>
        <c:overlap val="0"/>
        <c:axId val="31230210"/>
        <c:axId val="78325279"/>
      </c:barChart>
      <c:catAx>
        <c:axId val="312302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325279"/>
        <c:crosses val="autoZero"/>
        <c:auto val="1"/>
        <c:lblAlgn val="ctr"/>
        <c:lblOffset val="100"/>
        <c:noMultiLvlLbl val="0"/>
      </c:catAx>
      <c:valAx>
        <c:axId val="78325279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Punkty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302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Opłata rynkowa wg czasu wystawienia oferty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'Ekonomia i Ceny'!B5</c:f>
              <c:strCache>
                <c:ptCount val="1"/>
                <c:pt idx="0">
                  <c:v>Opłata (złoto)</c:v>
                </c:pt>
              </c:strCache>
            </c:strRef>
          </c:tx>
          <c:spPr>
            <a:solidFill>
              <a:srgbClr val="eda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'Ekonomia i Ceny'!$A$6:$A$8</c:f>
              <c:strCache>
                <c:ptCount val="3"/>
                <c:pt idx="0">
                  <c:v>24h</c:v>
                </c:pt>
                <c:pt idx="1">
                  <c:v>48h</c:v>
                </c:pt>
                <c:pt idx="2">
                  <c:v>72h</c:v>
                </c:pt>
              </c:strCache>
            </c:strRef>
          </c:cat>
          <c:val>
            <c:numRef>
              <c:f>'Ekonomia i Ceny'!$B$6:$B$8</c:f>
              <c:numCache>
                <c:formatCode>General</c:formatCode>
                <c:ptCount val="3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</c:numCache>
            </c:numRef>
          </c:val>
        </c:ser>
        <c:gapWidth val="60"/>
        <c:overlap val="0"/>
        <c:axId val="58579530"/>
        <c:axId val="23495339"/>
      </c:barChart>
      <c:catAx>
        <c:axId val="585795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95339"/>
        <c:crosses val="autoZero"/>
        <c:auto val="1"/>
        <c:lblAlgn val="ctr"/>
        <c:lblOffset val="100"/>
        <c:noMultiLvlLbl val="0"/>
      </c:catAx>
      <c:valAx>
        <c:axId val="23495339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Złoto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795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Koszty w Gemach — porównanie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'Ekonomia i Ceny'!B12</c:f>
              <c:strCache>
                <c:ptCount val="1"/>
                <c:pt idx="0">
                  <c:v>Koszt (gemy)</c:v>
                </c:pt>
              </c:strCache>
            </c:strRef>
          </c:tx>
          <c:spPr>
            <a:solidFill>
              <a:srgbClr val="4a3aa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'Ekonomia i Ceny'!$A$13:$A$19</c:f>
              <c:strCache>
                <c:ptCount val="7"/>
                <c:pt idx="0">
                  <c:v>Zwój Areny Walki</c:v>
                </c:pt>
                <c:pt idx="1">
                  <c:v>Zwój Resetu Umiejętności</c:v>
                </c:pt>
                <c:pt idx="2">
                  <c:v>Zwój Resetu Atrybutów</c:v>
                </c:pt>
                <c:pt idx="3">
                  <c:v>Dodatkowy slot magazynu gracza</c:v>
                </c:pt>
                <c:pt idx="4">
                  <c:v>Reset atrybutów (Profil)</c:v>
                </c:pt>
                <c:pt idx="5">
                  <c:v>Zwój Pełnego Resetu</c:v>
                </c:pt>
                <c:pt idx="6">
                  <c:v>Dostęp do Lustra (7 dni)</c:v>
                </c:pt>
              </c:strCache>
            </c:strRef>
          </c:cat>
          <c:val>
            <c:numRef>
              <c:f>'Ekonomia i Ceny'!$B$13:$B$19</c:f>
              <c:numCache>
                <c:formatCode>General</c:formatCode>
                <c:ptCount val="7"/>
                <c:pt idx="0">
                  <c:v>30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90</c:v>
                </c:pt>
                <c:pt idx="6">
                  <c:v>200</c:v>
                </c:pt>
              </c:numCache>
            </c:numRef>
          </c:val>
        </c:ser>
        <c:gapWidth val="60"/>
        <c:overlap val="0"/>
        <c:axId val="53817593"/>
        <c:axId val="54624441"/>
      </c:barChart>
      <c:catAx>
        <c:axId val="538175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Gemy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24441"/>
        <c:crosses val="autoZero"/>
        <c:auto val="1"/>
        <c:lblAlgn val="ctr"/>
        <c:lblOffset val="100"/>
        <c:noMultiLvlLbl val="0"/>
      </c:catAx>
      <c:valAx>
        <c:axId val="54624441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Pozycja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175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Bonus mikstury wg rozmiaru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'Ekonomia i Ceny'!B23</c:f>
              <c:strCache>
                <c:ptCount val="1"/>
                <c:pt idx="0">
                  <c:v>Bonus (%)</c:v>
                </c:pt>
              </c:strCache>
            </c:strRef>
          </c:tx>
          <c:spPr>
            <a:solidFill>
              <a:srgbClr val="1baf7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'Ekonomia i Ceny'!$A$24:$A$26</c:f>
              <c:strCache>
                <c:ptCount val="3"/>
                <c:pt idx="0">
                  <c:v>S (Mała)</c:v>
                </c:pt>
                <c:pt idx="1">
                  <c:v>M (Średnia)</c:v>
                </c:pt>
                <c:pt idx="2">
                  <c:v>L (Duża)</c:v>
                </c:pt>
              </c:strCache>
            </c:strRef>
          </c:cat>
          <c:val>
            <c:numRef>
              <c:f>'Ekonomia i Ceny'!$B$24:$B$26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15</c:v>
                </c:pt>
              </c:numCache>
            </c:numRef>
          </c:val>
        </c:ser>
        <c:gapWidth val="60"/>
        <c:overlap val="0"/>
        <c:axId val="34887630"/>
        <c:axId val="18859736"/>
      </c:barChart>
      <c:catAx>
        <c:axId val="348876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59736"/>
        <c:crosses val="autoZero"/>
        <c:auto val="1"/>
        <c:lblAlgn val="ctr"/>
        <c:lblOffset val="100"/>
        <c:noMultiLvlLbl val="0"/>
      </c:catAx>
      <c:valAx>
        <c:axId val="18859736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876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Czas trwania mikstury wg rozmiaru (h)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'Ekonomia i Ceny'!C23</c:f>
              <c:strCache>
                <c:ptCount val="1"/>
                <c:pt idx="0">
                  <c:v>Czas trwania (h)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'Ekonomia i Ceny'!$A$24:$A$26</c:f>
              <c:strCache>
                <c:ptCount val="3"/>
                <c:pt idx="0">
                  <c:v>S (Mała)</c:v>
                </c:pt>
                <c:pt idx="1">
                  <c:v>M (Średnia)</c:v>
                </c:pt>
                <c:pt idx="2">
                  <c:v>L (Duża)</c:v>
                </c:pt>
              </c:strCache>
            </c:strRef>
          </c:cat>
          <c:val>
            <c:numRef>
              <c:f>'Ekonomia i Ceny'!$C$24:$C$26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6</c:v>
                </c:pt>
              </c:numCache>
            </c:numRef>
          </c:val>
        </c:ser>
        <c:gapWidth val="60"/>
        <c:overlap val="0"/>
        <c:axId val="99842802"/>
        <c:axId val="43884092"/>
      </c:barChart>
      <c:catAx>
        <c:axId val="998428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84092"/>
        <c:crosses val="autoZero"/>
        <c:auto val="1"/>
        <c:lblAlgn val="ctr"/>
        <c:lblOffset val="100"/>
        <c:noMultiLvlLbl val="0"/>
      </c:catAx>
      <c:valAx>
        <c:axId val="43884092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Godziny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428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Czas wyklucia wg tieru (h)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Pety!C5</c:f>
              <c:strCache>
                <c:ptCount val="1"/>
                <c:pt idx="0">
                  <c:v>Czas wyklucia (h)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Pety!$B$6:$B$11</c:f>
              <c:strCache>
                <c:ptCount val="6"/>
                <c:pt idx="0">
                  <c:v>Pospolity</c:v>
                </c:pt>
                <c:pt idx="1">
                  <c:v>Zwykły</c:v>
                </c:pt>
                <c:pt idx="2">
                  <c:v>Nietypowy</c:v>
                </c:pt>
                <c:pt idx="3">
                  <c:v>Rzadki</c:v>
                </c:pt>
                <c:pt idx="4">
                  <c:v>Epicki</c:v>
                </c:pt>
                <c:pt idx="5">
                  <c:v>Legendarny</c:v>
                </c:pt>
              </c:strCache>
            </c:strRef>
          </c:cat>
          <c:val>
            <c:numRef>
              <c:f>Pety!$C$6:$C$11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</c:ser>
        <c:gapWidth val="60"/>
        <c:overlap val="0"/>
        <c:axId val="5863497"/>
        <c:axId val="19334562"/>
      </c:barChart>
      <c:catAx>
        <c:axId val="58634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34562"/>
        <c:crosses val="autoZero"/>
        <c:auto val="1"/>
        <c:lblAlgn val="ctr"/>
        <c:lblOffset val="100"/>
        <c:noMultiLvlLbl val="0"/>
      </c:catAx>
      <c:valAx>
        <c:axId val="19334562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Godziny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34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Norma poziomowa (pula staty) wg tieru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Pety!D5</c:f>
              <c:strCache>
                <c:ptCount val="1"/>
                <c:pt idx="0">
                  <c:v>Norma poziomowa (%)</c:v>
                </c:pt>
              </c:strCache>
            </c:strRef>
          </c:tx>
          <c:spPr>
            <a:solidFill>
              <a:srgbClr val="1baf7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Pety!$B$6:$B$11</c:f>
              <c:strCache>
                <c:ptCount val="6"/>
                <c:pt idx="0">
                  <c:v>Pospolity</c:v>
                </c:pt>
                <c:pt idx="1">
                  <c:v>Zwykły</c:v>
                </c:pt>
                <c:pt idx="2">
                  <c:v>Nietypowy</c:v>
                </c:pt>
                <c:pt idx="3">
                  <c:v>Rzadki</c:v>
                </c:pt>
                <c:pt idx="4">
                  <c:v>Epicki</c:v>
                </c:pt>
                <c:pt idx="5">
                  <c:v>Legendarny</c:v>
                </c:pt>
              </c:strCache>
            </c:strRef>
          </c:cat>
          <c:val>
            <c:numRef>
              <c:f>Pety!$D$6:$D$11</c:f>
              <c:numCache>
                <c:formatCode>General</c:formatCode>
                <c:ptCount val="6"/>
                <c:pt idx="0">
                  <c:v>100</c:v>
                </c:pt>
                <c:pt idx="1">
                  <c:v>130</c:v>
                </c:pt>
                <c:pt idx="2">
                  <c:v>160</c:v>
                </c:pt>
                <c:pt idx="3">
                  <c:v>190</c:v>
                </c:pt>
                <c:pt idx="4">
                  <c:v>220</c:v>
                </c:pt>
                <c:pt idx="5">
                  <c:v>250</c:v>
                </c:pt>
              </c:numCache>
            </c:numRef>
          </c:val>
        </c:ser>
        <c:gapWidth val="60"/>
        <c:overlap val="0"/>
        <c:axId val="977525"/>
        <c:axId val="8303999"/>
      </c:barChart>
      <c:catAx>
        <c:axId val="9775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3999"/>
        <c:crosses val="autoZero"/>
        <c:auto val="1"/>
        <c:lblAlgn val="ctr"/>
        <c:lblOffset val="100"/>
        <c:noMultiLvlLbl val="0"/>
      </c:catAx>
      <c:valAx>
        <c:axId val="8303999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5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Rozkład tieru wynikowego wg tieru jajka (100% = pewność)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percentStacked"/>
        <c:varyColors val="0"/>
        <c:ser>
          <c:idx val="0"/>
          <c:order val="0"/>
          <c:tx>
            <c:strRef>
              <c:f>Pety!B24</c:f>
              <c:strCache>
                <c:ptCount val="1"/>
                <c:pt idx="0">
                  <c:v>T1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Pety!$A$25:$A$30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Pety!$B$25:$B$30</c:f>
              <c:numCache>
                <c:formatCode>General</c:formatCode>
                <c:ptCount val="6"/>
                <c:pt idx="0">
                  <c:v>100</c:v>
                </c:pt>
                <c:pt idx="1">
                  <c:v>25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Pety!C24</c:f>
              <c:strCache>
                <c:ptCount val="1"/>
                <c:pt idx="0">
                  <c:v>T2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Pety!$A$25:$A$30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Pety!$C$25:$C$30</c:f>
              <c:numCache>
                <c:formatCode>General</c:formatCode>
                <c:ptCount val="6"/>
                <c:pt idx="0">
                  <c:v>0</c:v>
                </c:pt>
                <c:pt idx="1">
                  <c:v>75</c:v>
                </c:pt>
                <c:pt idx="2">
                  <c:v>25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Pety!D24</c:f>
              <c:strCache>
                <c:ptCount val="1"/>
                <c:pt idx="0">
                  <c:v>T3</c:v>
                </c:pt>
              </c:strCache>
            </c:strRef>
          </c:tx>
          <c:spPr>
            <a:solidFill>
              <a:srgbClr val="1baf7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Pety!$A$25:$A$30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Pety!$D$25:$D$30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65</c:v>
                </c:pt>
                <c:pt idx="3">
                  <c:v>45</c:v>
                </c:pt>
                <c:pt idx="4">
                  <c:v>20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Pety!E24</c:f>
              <c:strCache>
                <c:ptCount val="1"/>
                <c:pt idx="0">
                  <c:v>T4</c:v>
                </c:pt>
              </c:strCache>
            </c:strRef>
          </c:tx>
          <c:spPr>
            <a:solidFill>
              <a:srgbClr val="eda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Pety!$A$25:$A$30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Pety!$E$25:$E$30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60</c:v>
                </c:pt>
                <c:pt idx="5">
                  <c:v>35</c:v>
                </c:pt>
              </c:numCache>
            </c:numRef>
          </c:val>
        </c:ser>
        <c:ser>
          <c:idx val="4"/>
          <c:order val="4"/>
          <c:tx>
            <c:strRef>
              <c:f>Pety!F24</c:f>
              <c:strCache>
                <c:ptCount val="1"/>
                <c:pt idx="0">
                  <c:v>T5</c:v>
                </c:pt>
              </c:strCache>
            </c:strRef>
          </c:tx>
          <c:spPr>
            <a:solidFill>
              <a:srgbClr val="e87ba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Pety!$A$25:$A$30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Pety!$F$25:$F$30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60</c:v>
                </c:pt>
              </c:numCache>
            </c:numRef>
          </c:val>
        </c:ser>
        <c:ser>
          <c:idx val="5"/>
          <c:order val="5"/>
          <c:tx>
            <c:strRef>
              <c:f>Pety!G24</c:f>
              <c:strCache>
                <c:ptCount val="1"/>
                <c:pt idx="0">
                  <c:v>T6</c:v>
                </c:pt>
              </c:strCache>
            </c:strRef>
          </c:tx>
          <c:spPr>
            <a:solidFill>
              <a:srgbClr val="0083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Pety!$A$25:$A$30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Pety!$G$25:$G$30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</c:numCache>
            </c:numRef>
          </c:val>
        </c:ser>
        <c:gapWidth val="60"/>
        <c:overlap val="100"/>
        <c:axId val="58771010"/>
        <c:axId val="94014207"/>
      </c:barChart>
      <c:catAx>
        <c:axId val="5877101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Udział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14207"/>
        <c:crosses val="autoZero"/>
        <c:auto val="1"/>
        <c:lblAlgn val="ctr"/>
        <c:lblOffset val="100"/>
        <c:noMultiLvlLbl val="0"/>
      </c:catAx>
      <c:valAx>
        <c:axId val="94014207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Tier jajka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710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Szansa sukcesu fuzji: bazowa vs maks. z bonusem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Pety!B43</c:f>
              <c:strCache>
                <c:ptCount val="1"/>
                <c:pt idx="0">
                  <c:v>Szansa bazowa (%)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Pety!$A$44:$A$48</c:f>
              <c:strCache>
                <c:ptCount val="5"/>
                <c:pt idx="0">
                  <c:v>T1+T1 -&gt; T2</c:v>
                </c:pt>
                <c:pt idx="1">
                  <c:v>T2+T2 -&gt; T3</c:v>
                </c:pt>
                <c:pt idx="2">
                  <c:v>T3+T3 -&gt; T4</c:v>
                </c:pt>
                <c:pt idx="3">
                  <c:v>T4+T4 -&gt; T5</c:v>
                </c:pt>
                <c:pt idx="4">
                  <c:v>T5+T5 -&gt; T6</c:v>
                </c:pt>
              </c:strCache>
            </c:strRef>
          </c:cat>
          <c:val>
            <c:numRef>
              <c:f>Pety!$B$44:$B$48</c:f>
              <c:numCache>
                <c:formatCode>General</c:formatCode>
                <c:ptCount val="5"/>
                <c:pt idx="0">
                  <c:v>80</c:v>
                </c:pt>
                <c:pt idx="1">
                  <c:v>65</c:v>
                </c:pt>
                <c:pt idx="2">
                  <c:v>50</c:v>
                </c:pt>
                <c:pt idx="3">
                  <c:v>35</c:v>
                </c:pt>
                <c:pt idx="4">
                  <c:v>20</c:v>
                </c:pt>
              </c:numCache>
            </c:numRef>
          </c:val>
        </c:ser>
        <c:ser>
          <c:idx val="1"/>
          <c:order val="1"/>
          <c:tx>
            <c:strRef>
              <c:f>Pety!C43</c:f>
              <c:strCache>
                <c:ptCount val="1"/>
                <c:pt idx="0">
                  <c:v>Szansa max z bonusem (%)</c:v>
                </c:pt>
              </c:strCache>
            </c:strRef>
          </c:tx>
          <c:spPr>
            <a:solidFill>
              <a:srgbClr val="1baf7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Pety!$A$44:$A$48</c:f>
              <c:strCache>
                <c:ptCount val="5"/>
                <c:pt idx="0">
                  <c:v>T1+T1 -&gt; T2</c:v>
                </c:pt>
                <c:pt idx="1">
                  <c:v>T2+T2 -&gt; T3</c:v>
                </c:pt>
                <c:pt idx="2">
                  <c:v>T3+T3 -&gt; T4</c:v>
                </c:pt>
                <c:pt idx="3">
                  <c:v>T4+T4 -&gt; T5</c:v>
                </c:pt>
                <c:pt idx="4">
                  <c:v>T5+T5 -&gt; T6</c:v>
                </c:pt>
              </c:strCache>
            </c:strRef>
          </c:cat>
          <c:val>
            <c:numRef>
              <c:f>Pety!$C$44:$C$48</c:f>
              <c:numCache>
                <c:formatCode>General</c:formatCode>
                <c:ptCount val="5"/>
                <c:pt idx="0">
                  <c:v>100</c:v>
                </c:pt>
                <c:pt idx="1">
                  <c:v>85</c:v>
                </c:pt>
                <c:pt idx="2">
                  <c:v>70</c:v>
                </c:pt>
                <c:pt idx="3">
                  <c:v>55</c:v>
                </c:pt>
                <c:pt idx="4">
                  <c:v>40</c:v>
                </c:pt>
              </c:numCache>
            </c:numRef>
          </c:val>
        </c:ser>
        <c:gapWidth val="60"/>
        <c:overlap val="0"/>
        <c:axId val="23110462"/>
        <c:axId val="52477990"/>
      </c:barChart>
      <c:catAx>
        <c:axId val="231104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77990"/>
        <c:crosses val="autoZero"/>
        <c:auto val="1"/>
        <c:lblAlgn val="ctr"/>
        <c:lblOffset val="100"/>
        <c:noMultiLvlLbl val="0"/>
      </c:catAx>
      <c:valAx>
        <c:axId val="52477990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10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Koszt próby fuzji (złoto)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Pety!D43</c:f>
              <c:strCache>
                <c:ptCount val="1"/>
                <c:pt idx="0">
                  <c:v>Koszt (złoto)</c:v>
                </c:pt>
              </c:strCache>
            </c:strRef>
          </c:tx>
          <c:spPr>
            <a:solidFill>
              <a:srgbClr val="eda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Pety!$A$44:$A$48</c:f>
              <c:strCache>
                <c:ptCount val="5"/>
                <c:pt idx="0">
                  <c:v>T1+T1 -&gt; T2</c:v>
                </c:pt>
                <c:pt idx="1">
                  <c:v>T2+T2 -&gt; T3</c:v>
                </c:pt>
                <c:pt idx="2">
                  <c:v>T3+T3 -&gt; T4</c:v>
                </c:pt>
                <c:pt idx="3">
                  <c:v>T4+T4 -&gt; T5</c:v>
                </c:pt>
                <c:pt idx="4">
                  <c:v>T5+T5 -&gt; T6</c:v>
                </c:pt>
              </c:strCache>
            </c:strRef>
          </c:cat>
          <c:val>
            <c:numRef>
              <c:f>Pety!$D$44:$D$48</c:f>
              <c:numCache>
                <c:formatCode>General</c:formatCode>
                <c:ptCount val="5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</c:numCache>
            </c:numRef>
          </c:val>
        </c:ser>
        <c:gapWidth val="60"/>
        <c:overlap val="0"/>
        <c:axId val="62843691"/>
        <c:axId val="86693966"/>
      </c:barChart>
      <c:catAx>
        <c:axId val="628436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93966"/>
        <c:crosses val="autoZero"/>
        <c:auto val="1"/>
        <c:lblAlgn val="ctr"/>
        <c:lblOffset val="100"/>
        <c:noMultiLvlLbl val="0"/>
      </c:catAx>
      <c:valAx>
        <c:axId val="86693966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Złoto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436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Rozkład wyniku porażki fuzji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Pety!B52</c:f>
              <c:strCache>
                <c:ptCount val="1"/>
                <c:pt idx="0">
                  <c:v>Szansa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a78d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baf7a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da1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87ba4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Pety!$A$53:$A$57</c:f>
              <c:strCache>
                <c:ptCount val="5"/>
                <c:pt idx="0">
                  <c:v>Brak utraty (no_loss)</c:v>
                </c:pt>
                <c:pt idx="1">
                  <c:v>Cofnięcie 1 peta (devolve_one)</c:v>
                </c:pt>
                <c:pt idx="2">
                  <c:v>Cofnięcie obu (devolve_both)</c:v>
                </c:pt>
                <c:pt idx="3">
                  <c:v>Utrata 1 peta (lose_one)</c:v>
                </c:pt>
                <c:pt idx="4">
                  <c:v>Utrata obu (lose_both)</c:v>
                </c:pt>
              </c:strCache>
            </c:strRef>
          </c:cat>
          <c:val>
            <c:numRef>
              <c:f>Pety!$B$53:$B$57</c:f>
              <c:numCache>
                <c:formatCode>General</c:formatCode>
                <c:ptCount val="5"/>
                <c:pt idx="0">
                  <c:v>43</c:v>
                </c:pt>
                <c:pt idx="1">
                  <c:v>25</c:v>
                </c:pt>
                <c:pt idx="2">
                  <c:v>20</c:v>
                </c:pt>
                <c:pt idx="3">
                  <c:v>10</c:v>
                </c:pt>
                <c:pt idx="4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Rozkład rzadkości przy Craftingu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'Rzemiosło i Ulepszenia'!B5</c:f>
              <c:strCache>
                <c:ptCount val="1"/>
                <c:pt idx="0">
                  <c:v>Szansa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a78d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baf7a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da1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87ba4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'Rzemiosło i Ulepszenia'!$A$6:$A$10</c:f>
              <c:strCache>
                <c:ptCount val="5"/>
                <c:pt idx="0">
                  <c:v>Common</c:v>
                </c:pt>
                <c:pt idx="1">
                  <c:v>Uncommon</c:v>
                </c:pt>
                <c:pt idx="2">
                  <c:v>Rare</c:v>
                </c:pt>
                <c:pt idx="3">
                  <c:v>Epic</c:v>
                </c:pt>
                <c:pt idx="4">
                  <c:v>Legendary</c:v>
                </c:pt>
              </c:strCache>
            </c:strRef>
          </c:cat>
          <c:val>
            <c:numRef>
              <c:f>'Rzemiosło i Ulepszenia'!$B$6:$B$10</c:f>
              <c:numCache>
                <c:formatCode>General</c:formatCode>
                <c:ptCount val="5"/>
                <c:pt idx="0">
                  <c:v>70</c:v>
                </c:pt>
                <c:pt idx="1">
                  <c:v>20</c:v>
                </c:pt>
                <c:pt idx="2">
                  <c:v>8</c:v>
                </c:pt>
                <c:pt idx="3">
                  <c:v>1.9</c:v>
                </c:pt>
                <c:pt idx="4">
                  <c:v>0.1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Malejąca szansa zaklęcia wg liczby bonusów (75→20%)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'Rzemiosło i Ulepszenia'!B14</c:f>
              <c:strCache>
                <c:ptCount val="1"/>
                <c:pt idx="0">
                  <c:v>Szansa sukcesu (%)</c:v>
                </c:pt>
              </c:strCache>
            </c:strRef>
          </c:tx>
          <c:spPr>
            <a:solidFill>
              <a:srgbClr val="e34948"/>
            </a:solidFill>
            <a:ln w="21960">
              <a:solidFill>
                <a:srgbClr val="e34948"/>
              </a:solidFill>
              <a:round/>
            </a:ln>
          </c:spPr>
          <c:marker>
            <c:symbol val="circle"/>
            <c:size val="5"/>
            <c:spPr>
              <a:solidFill>
                <a:srgbClr val="e349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'Rzemiosło i Ulepszenia'!$A$15:$A$19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'Rzemiosło i Ulepszenia'!$B$15:$B$19</c:f>
              <c:numCache>
                <c:formatCode>General</c:formatCode>
                <c:ptCount val="5"/>
                <c:pt idx="0">
                  <c:v>75</c:v>
                </c:pt>
                <c:pt idx="1">
                  <c:v>50</c:v>
                </c:pt>
                <c:pt idx="2">
                  <c:v>40</c:v>
                </c:pt>
                <c:pt idx="3">
                  <c:v>30</c:v>
                </c:pt>
                <c:pt idx="4">
                  <c:v>20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702444"/>
        <c:axId val="55712982"/>
      </c:lineChart>
      <c:catAx>
        <c:axId val="807024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Bonus nr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12982"/>
        <c:crosses val="autoZero"/>
        <c:auto val="1"/>
        <c:lblAlgn val="ctr"/>
        <c:lblOffset val="100"/>
        <c:noMultiLvlLbl val="0"/>
      </c:catAx>
      <c:valAx>
        <c:axId val="55712982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Szansa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024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Nagroda Rankingu Tygodniowego wg miejsca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'Nagrody Cykliczne'!B5</c:f>
              <c:strCache>
                <c:ptCount val="1"/>
                <c:pt idx="0">
                  <c:v>Nagroda (gemy)</c:v>
                </c:pt>
              </c:strCache>
            </c:strRef>
          </c:tx>
          <c:spPr>
            <a:solidFill>
              <a:srgbClr val="e87ba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'Nagrody Cykliczne'!$A$6:$A$9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4-10</c:v>
                </c:pt>
              </c:strCache>
            </c:strRef>
          </c:cat>
          <c:val>
            <c:numRef>
              <c:f>'Nagrody Cykliczne'!$B$6:$B$9</c:f>
              <c:numCache>
                <c:formatCode>General</c:formatCode>
                <c:ptCount val="4"/>
                <c:pt idx="0">
                  <c:v>300</c:v>
                </c:pt>
                <c:pt idx="1">
                  <c:v>250</c:v>
                </c:pt>
                <c:pt idx="2">
                  <c:v>200</c:v>
                </c:pt>
                <c:pt idx="3">
                  <c:v>100</c:v>
                </c:pt>
              </c:numCache>
            </c:numRef>
          </c:val>
        </c:ser>
        <c:gapWidth val="60"/>
        <c:overlap val="0"/>
        <c:axId val="60176881"/>
        <c:axId val="45465325"/>
      </c:barChart>
      <c:catAx>
        <c:axId val="601768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Miejsce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65325"/>
        <c:crosses val="autoZero"/>
        <c:auto val="1"/>
        <c:lblAlgn val="ctr"/>
        <c:lblOffset val="100"/>
        <c:noMultiLvlLbl val="0"/>
      </c:catAx>
      <c:valAx>
        <c:axId val="45465325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Gemy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768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Nagrody World Bossa wg miejsca (Gemy vs Klucze)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'Nagrody Cykliczne'!B13</c:f>
              <c:strCache>
                <c:ptCount val="1"/>
                <c:pt idx="0">
                  <c:v>Gemy</c:v>
                </c:pt>
              </c:strCache>
            </c:strRef>
          </c:tx>
          <c:spPr>
            <a:solidFill>
              <a:srgbClr val="4a3aa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'Nagrody Cykliczne'!$A$14:$A$18</c:f>
              <c:strCache>
                <c:ptCount val="5"/>
                <c:pt idx="0">
                  <c:v>1</c:v>
                </c:pt>
                <c:pt idx="1">
                  <c:v>2-3</c:v>
                </c:pt>
                <c:pt idx="2">
                  <c:v>4-6</c:v>
                </c:pt>
                <c:pt idx="3">
                  <c:v>7-9</c:v>
                </c:pt>
                <c:pt idx="4">
                  <c:v>10+</c:v>
                </c:pt>
              </c:strCache>
            </c:strRef>
          </c:cat>
          <c:val>
            <c:numRef>
              <c:f>'Nagrody Cykliczne'!$B$14:$B$18</c:f>
              <c:numCache>
                <c:formatCode>General</c:formatCode>
                <c:ptCount val="5"/>
                <c:pt idx="0">
                  <c:v>50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'Nagrody Cykliczne'!C13</c:f>
              <c:strCache>
                <c:ptCount val="1"/>
                <c:pt idx="0">
                  <c:v>Klucze do lochu</c:v>
                </c:pt>
              </c:strCache>
            </c:strRef>
          </c:tx>
          <c:spPr>
            <a:solidFill>
              <a:srgbClr val="1baf7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'Nagrody Cykliczne'!$A$14:$A$18</c:f>
              <c:strCache>
                <c:ptCount val="5"/>
                <c:pt idx="0">
                  <c:v>1</c:v>
                </c:pt>
                <c:pt idx="1">
                  <c:v>2-3</c:v>
                </c:pt>
                <c:pt idx="2">
                  <c:v>4-6</c:v>
                </c:pt>
                <c:pt idx="3">
                  <c:v>7-9</c:v>
                </c:pt>
                <c:pt idx="4">
                  <c:v>10+</c:v>
                </c:pt>
              </c:strCache>
            </c:strRef>
          </c:cat>
          <c:val>
            <c:numRef>
              <c:f>'Nagrody Cykliczne'!$C$14:$C$18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gapWidth val="60"/>
        <c:overlap val="0"/>
        <c:axId val="58368561"/>
        <c:axId val="11686767"/>
      </c:barChart>
      <c:catAx>
        <c:axId val="583685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Miejsce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86767"/>
        <c:crosses val="autoZero"/>
        <c:auto val="1"/>
        <c:lblAlgn val="ctr"/>
        <c:lblOffset val="100"/>
        <c:noMultiLvlLbl val="0"/>
      </c:catAx>
      <c:valAx>
        <c:axId val="11686767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Ilość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685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Statystyki potworów wg mnożnika Multi-Dungeon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'Dungeony i Multi'!B5</c:f>
              <c:strCache>
                <c:ptCount val="1"/>
                <c:pt idx="0">
                  <c:v>Staty potworów (%)</c:v>
                </c:pt>
              </c:strCache>
            </c:strRef>
          </c:tx>
          <c:spPr>
            <a:solidFill>
              <a:srgbClr val="e3494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'Dungeony i Multi'!$A$6:$A$8</c:f>
              <c:strCache>
                <c:ptCount val="3"/>
                <c:pt idx="0">
                  <c:v>1x</c:v>
                </c:pt>
                <c:pt idx="1">
                  <c:v>3x</c:v>
                </c:pt>
                <c:pt idx="2">
                  <c:v>5x</c:v>
                </c:pt>
              </c:strCache>
            </c:strRef>
          </c:cat>
          <c:val>
            <c:numRef>
              <c:f>'Dungeony i Multi'!$B$6:$B$8</c:f>
              <c:numCache>
                <c:formatCode>General</c:formatCode>
                <c:ptCount val="3"/>
                <c:pt idx="0">
                  <c:v>100</c:v>
                </c:pt>
                <c:pt idx="1">
                  <c:v>135</c:v>
                </c:pt>
                <c:pt idx="2">
                  <c:v>170</c:v>
                </c:pt>
              </c:numCache>
            </c:numRef>
          </c:val>
        </c:ser>
        <c:gapWidth val="60"/>
        <c:overlap val="0"/>
        <c:axId val="13712207"/>
        <c:axId val="28598445"/>
      </c:barChart>
      <c:catAx>
        <c:axId val="1371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98445"/>
        <c:crosses val="autoZero"/>
        <c:auto val="1"/>
        <c:lblAlgn val="ctr"/>
        <c:lblOffset val="100"/>
        <c:noMultiLvlLbl val="0"/>
      </c:catAx>
      <c:valAx>
        <c:axId val="28598445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122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Zakres skrzyń z bossa wg mnożnika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'Dungeony i Multi'!C5</c:f>
              <c:strCache>
                <c:ptCount val="1"/>
                <c:pt idx="0">
                  <c:v>Skrzynie z bossa (min)</c:v>
                </c:pt>
              </c:strCache>
            </c:strRef>
          </c:tx>
          <c:spPr>
            <a:solidFill>
              <a:srgbClr val="eda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'Dungeony i Multi'!$A$6:$A$8</c:f>
              <c:strCache>
                <c:ptCount val="3"/>
                <c:pt idx="0">
                  <c:v>1x</c:v>
                </c:pt>
                <c:pt idx="1">
                  <c:v>3x</c:v>
                </c:pt>
                <c:pt idx="2">
                  <c:v>5x</c:v>
                </c:pt>
              </c:strCache>
            </c:strRef>
          </c:cat>
          <c:val>
            <c:numRef>
              <c:f>'Dungeony i Multi'!$C$6:$C$8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'Dungeony i Multi'!D5</c:f>
              <c:strCache>
                <c:ptCount val="1"/>
                <c:pt idx="0">
                  <c:v>Skrzynie z bossa (max)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'Dungeony i Multi'!$A$6:$A$8</c:f>
              <c:strCache>
                <c:ptCount val="3"/>
                <c:pt idx="0">
                  <c:v>1x</c:v>
                </c:pt>
                <c:pt idx="1">
                  <c:v>3x</c:v>
                </c:pt>
                <c:pt idx="2">
                  <c:v>5x</c:v>
                </c:pt>
              </c:strCache>
            </c:strRef>
          </c:cat>
          <c:val>
            <c:numRef>
              <c:f>'Dungeony i Multi'!$D$6:$D$8</c:f>
              <c:numCache>
                <c:formatCode>General</c:formatCode>
                <c:ptCount val="3"/>
                <c:pt idx="0">
                  <c:v>3</c:v>
                </c:pt>
                <c:pt idx="1">
                  <c:v>9</c:v>
                </c:pt>
                <c:pt idx="2">
                  <c:v>15</c:v>
                </c:pt>
              </c:numCache>
            </c:numRef>
          </c:val>
        </c:ser>
        <c:gapWidth val="60"/>
        <c:overlap val="0"/>
        <c:axId val="55340680"/>
        <c:axId val="98308547"/>
      </c:barChart>
      <c:catAx>
        <c:axId val="5534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08547"/>
        <c:crosses val="autoZero"/>
        <c:auto val="1"/>
        <c:lblAlgn val="ctr"/>
        <c:lblOffset val="100"/>
        <c:noMultiLvlLbl val="0"/>
      </c:catAx>
      <c:valAx>
        <c:axId val="98308547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Skrzynie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406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faz rozwoju (18 faz łącznie)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83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a1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Roadmapa!$A$27:$A$28</c:f>
              <c:strCache>
                <c:ptCount val="2"/>
                <c:pt idx="0">
                  <c:v>Zakończone</c:v>
                </c:pt>
                <c:pt idx="1">
                  <c:v>Planowane</c:v>
                </c:pt>
              </c:strCache>
            </c:strRef>
          </c:cat>
          <c:val>
            <c:numRef>
              <c:f>Roadmapa!$B$27:$B$28</c:f>
              <c:numCache>
                <c:formatCode>General</c:formatCode>
                <c:ptCount val="2"/>
                <c:pt idx="0">
                  <c:v>16</c:v>
                </c:pt>
                <c:pt idx="1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<Relationship Id="rId5" Type="http://schemas.openxmlformats.org/officeDocument/2006/relationships/chart" Target="../charts/chart18.xml"/><Relationship Id="rId6" Type="http://schemas.openxmlformats.org/officeDocument/2006/relationships/chart" Target="../charts/chart19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2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140760</xdr:rowOff>
    </xdr:from>
    <xdr:to>
      <xdr:col>5</xdr:col>
      <xdr:colOff>707400</xdr:colOff>
      <xdr:row>52</xdr:row>
      <xdr:rowOff>61560</xdr:rowOff>
    </xdr:to>
    <xdr:graphicFrame>
      <xdr:nvGraphicFramePr>
        <xdr:cNvPr id="0" name="Chart 1"/>
        <xdr:cNvGraphicFramePr/>
      </xdr:nvGraphicFramePr>
      <xdr:xfrm>
        <a:off x="0" y="6448320"/>
        <a:ext cx="6839640" cy="61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23</xdr:row>
      <xdr:rowOff>140760</xdr:rowOff>
    </xdr:from>
    <xdr:to>
      <xdr:col>20</xdr:col>
      <xdr:colOff>113400</xdr:colOff>
      <xdr:row>52</xdr:row>
      <xdr:rowOff>61560</xdr:rowOff>
    </xdr:to>
    <xdr:graphicFrame>
      <xdr:nvGraphicFramePr>
        <xdr:cNvPr id="1" name="Chart 2"/>
        <xdr:cNvGraphicFramePr/>
      </xdr:nvGraphicFramePr>
      <xdr:xfrm>
        <a:off x="12805560" y="6448320"/>
        <a:ext cx="6839640" cy="61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10</xdr:col>
      <xdr:colOff>38880</xdr:colOff>
      <xdr:row>12</xdr:row>
      <xdr:rowOff>134280</xdr:rowOff>
    </xdr:to>
    <xdr:graphicFrame>
      <xdr:nvGraphicFramePr>
        <xdr:cNvPr id="2" name="Chart 1"/>
        <xdr:cNvGraphicFramePr/>
      </xdr:nvGraphicFramePr>
      <xdr:xfrm>
        <a:off x="3947040" y="73332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8</xdr:row>
      <xdr:rowOff>62280</xdr:rowOff>
    </xdr:from>
    <xdr:to>
      <xdr:col>16</xdr:col>
      <xdr:colOff>113040</xdr:colOff>
      <xdr:row>25</xdr:row>
      <xdr:rowOff>18360</xdr:rowOff>
    </xdr:to>
    <xdr:graphicFrame>
      <xdr:nvGraphicFramePr>
        <xdr:cNvPr id="3" name="Chart 2"/>
        <xdr:cNvGraphicFramePr/>
      </xdr:nvGraphicFramePr>
      <xdr:xfrm>
        <a:off x="6250320" y="2486160"/>
        <a:ext cx="68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28</xdr:row>
      <xdr:rowOff>76320</xdr:rowOff>
    </xdr:from>
    <xdr:to>
      <xdr:col>16</xdr:col>
      <xdr:colOff>113040</xdr:colOff>
      <xdr:row>47</xdr:row>
      <xdr:rowOff>56160</xdr:rowOff>
    </xdr:to>
    <xdr:graphicFrame>
      <xdr:nvGraphicFramePr>
        <xdr:cNvPr id="4" name="Chart 3"/>
        <xdr:cNvGraphicFramePr/>
      </xdr:nvGraphicFramePr>
      <xdr:xfrm>
        <a:off x="6250320" y="6715080"/>
        <a:ext cx="68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10</xdr:col>
      <xdr:colOff>164880</xdr:colOff>
      <xdr:row>16</xdr:row>
      <xdr:rowOff>23760</xdr:rowOff>
    </xdr:to>
    <xdr:graphicFrame>
      <xdr:nvGraphicFramePr>
        <xdr:cNvPr id="5" name="Chart 1"/>
        <xdr:cNvGraphicFramePr/>
      </xdr:nvGraphicFramePr>
      <xdr:xfrm>
        <a:off x="4088160" y="7333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9</xdr:row>
      <xdr:rowOff>0</xdr:rowOff>
    </xdr:from>
    <xdr:to>
      <xdr:col>11</xdr:col>
      <xdr:colOff>273240</xdr:colOff>
      <xdr:row>23</xdr:row>
      <xdr:rowOff>61920</xdr:rowOff>
    </xdr:to>
    <xdr:graphicFrame>
      <xdr:nvGraphicFramePr>
        <xdr:cNvPr id="6" name="Chart 2"/>
        <xdr:cNvGraphicFramePr/>
      </xdr:nvGraphicFramePr>
      <xdr:xfrm>
        <a:off x="4088160" y="210492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32</xdr:row>
      <xdr:rowOff>78120</xdr:rowOff>
    </xdr:from>
    <xdr:to>
      <xdr:col>15</xdr:col>
      <xdr:colOff>4680</xdr:colOff>
      <xdr:row>47</xdr:row>
      <xdr:rowOff>2880</xdr:rowOff>
    </xdr:to>
    <xdr:graphicFrame>
      <xdr:nvGraphicFramePr>
        <xdr:cNvPr id="7" name="Chart 3"/>
        <xdr:cNvGraphicFramePr/>
      </xdr:nvGraphicFramePr>
      <xdr:xfrm>
        <a:off x="5545440" y="67150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42</xdr:row>
      <xdr:rowOff>78120</xdr:rowOff>
    </xdr:from>
    <xdr:to>
      <xdr:col>13</xdr:col>
      <xdr:colOff>507600</xdr:colOff>
      <xdr:row>56</xdr:row>
      <xdr:rowOff>62280</xdr:rowOff>
    </xdr:to>
    <xdr:graphicFrame>
      <xdr:nvGraphicFramePr>
        <xdr:cNvPr id="8" name="Chart 4"/>
        <xdr:cNvGraphicFramePr/>
      </xdr:nvGraphicFramePr>
      <xdr:xfrm>
        <a:off x="5545440" y="88488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10</xdr:col>
      <xdr:colOff>399240</xdr:colOff>
      <xdr:row>14</xdr:row>
      <xdr:rowOff>214560</xdr:rowOff>
    </xdr:to>
    <xdr:graphicFrame>
      <xdr:nvGraphicFramePr>
        <xdr:cNvPr id="9" name="Chart 1"/>
        <xdr:cNvGraphicFramePr/>
      </xdr:nvGraphicFramePr>
      <xdr:xfrm>
        <a:off x="3101400" y="7333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10</xdr:row>
      <xdr:rowOff>0</xdr:rowOff>
    </xdr:from>
    <xdr:to>
      <xdr:col>11</xdr:col>
      <xdr:colOff>507600</xdr:colOff>
      <xdr:row>22</xdr:row>
      <xdr:rowOff>372240</xdr:rowOff>
    </xdr:to>
    <xdr:graphicFrame>
      <xdr:nvGraphicFramePr>
        <xdr:cNvPr id="10" name="Chart 2"/>
        <xdr:cNvGraphicFramePr/>
      </xdr:nvGraphicFramePr>
      <xdr:xfrm>
        <a:off x="3101400" y="229536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18</xdr:row>
      <xdr:rowOff>9360</xdr:rowOff>
    </xdr:from>
    <xdr:to>
      <xdr:col>11</xdr:col>
      <xdr:colOff>38880</xdr:colOff>
      <xdr:row>31</xdr:row>
      <xdr:rowOff>71640</xdr:rowOff>
    </xdr:to>
    <xdr:graphicFrame>
      <xdr:nvGraphicFramePr>
        <xdr:cNvPr id="11" name="Chart 3"/>
        <xdr:cNvGraphicFramePr/>
      </xdr:nvGraphicFramePr>
      <xdr:xfrm>
        <a:off x="3712680" y="46195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18</xdr:row>
      <xdr:rowOff>9360</xdr:rowOff>
    </xdr:from>
    <xdr:to>
      <xdr:col>15</xdr:col>
      <xdr:colOff>39240</xdr:colOff>
      <xdr:row>31</xdr:row>
      <xdr:rowOff>71640</xdr:rowOff>
    </xdr:to>
    <xdr:graphicFrame>
      <xdr:nvGraphicFramePr>
        <xdr:cNvPr id="12" name="Chart 4"/>
        <xdr:cNvGraphicFramePr/>
      </xdr:nvGraphicFramePr>
      <xdr:xfrm>
        <a:off x="6158880" y="46195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13</xdr:col>
      <xdr:colOff>446760</xdr:colOff>
      <xdr:row>16</xdr:row>
      <xdr:rowOff>174600</xdr:rowOff>
    </xdr:to>
    <xdr:graphicFrame>
      <xdr:nvGraphicFramePr>
        <xdr:cNvPr id="13" name="Chart 1"/>
        <xdr:cNvGraphicFramePr/>
      </xdr:nvGraphicFramePr>
      <xdr:xfrm>
        <a:off x="6907680" y="7333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3</xdr:row>
      <xdr:rowOff>0</xdr:rowOff>
    </xdr:from>
    <xdr:to>
      <xdr:col>18</xdr:col>
      <xdr:colOff>398880</xdr:colOff>
      <xdr:row>16</xdr:row>
      <xdr:rowOff>174600</xdr:rowOff>
    </xdr:to>
    <xdr:graphicFrame>
      <xdr:nvGraphicFramePr>
        <xdr:cNvPr id="14" name="Chart 2"/>
        <xdr:cNvGraphicFramePr/>
      </xdr:nvGraphicFramePr>
      <xdr:xfrm>
        <a:off x="9917280" y="7333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22</xdr:row>
      <xdr:rowOff>0</xdr:rowOff>
    </xdr:from>
    <xdr:to>
      <xdr:col>19</xdr:col>
      <xdr:colOff>113400</xdr:colOff>
      <xdr:row>37</xdr:row>
      <xdr:rowOff>153360</xdr:rowOff>
    </xdr:to>
    <xdr:graphicFrame>
      <xdr:nvGraphicFramePr>
        <xdr:cNvPr id="15" name="Chart 3"/>
        <xdr:cNvGraphicFramePr/>
      </xdr:nvGraphicFramePr>
      <xdr:xfrm>
        <a:off x="8083080" y="4581360"/>
        <a:ext cx="68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41</xdr:row>
      <xdr:rowOff>0</xdr:rowOff>
    </xdr:from>
    <xdr:to>
      <xdr:col>14</xdr:col>
      <xdr:colOff>351360</xdr:colOff>
      <xdr:row>55</xdr:row>
      <xdr:rowOff>115560</xdr:rowOff>
    </xdr:to>
    <xdr:graphicFrame>
      <xdr:nvGraphicFramePr>
        <xdr:cNvPr id="16" name="Chart 4"/>
        <xdr:cNvGraphicFramePr/>
      </xdr:nvGraphicFramePr>
      <xdr:xfrm>
        <a:off x="6343560" y="8429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60</xdr:row>
      <xdr:rowOff>0</xdr:rowOff>
    </xdr:from>
    <xdr:to>
      <xdr:col>14</xdr:col>
      <xdr:colOff>351360</xdr:colOff>
      <xdr:row>77</xdr:row>
      <xdr:rowOff>1080</xdr:rowOff>
    </xdr:to>
    <xdr:graphicFrame>
      <xdr:nvGraphicFramePr>
        <xdr:cNvPr id="17" name="Chart 5"/>
        <xdr:cNvGraphicFramePr/>
      </xdr:nvGraphicFramePr>
      <xdr:xfrm>
        <a:off x="6343560" y="12506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0</xdr:colOff>
      <xdr:row>50</xdr:row>
      <xdr:rowOff>0</xdr:rowOff>
    </xdr:from>
    <xdr:to>
      <xdr:col>10</xdr:col>
      <xdr:colOff>385560</xdr:colOff>
      <xdr:row>65</xdr:row>
      <xdr:rowOff>153360</xdr:rowOff>
    </xdr:to>
    <xdr:graphicFrame>
      <xdr:nvGraphicFramePr>
        <xdr:cNvPr id="18" name="Chart 6"/>
        <xdr:cNvGraphicFramePr/>
      </xdr:nvGraphicFramePr>
      <xdr:xfrm>
        <a:off x="4651920" y="103726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10</xdr:col>
      <xdr:colOff>399240</xdr:colOff>
      <xdr:row>17</xdr:row>
      <xdr:rowOff>115200</xdr:rowOff>
    </xdr:to>
    <xdr:graphicFrame>
      <xdr:nvGraphicFramePr>
        <xdr:cNvPr id="19" name="Chart 1"/>
        <xdr:cNvGraphicFramePr/>
      </xdr:nvGraphicFramePr>
      <xdr:xfrm>
        <a:off x="6602760" y="73332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12</xdr:row>
      <xdr:rowOff>0</xdr:rowOff>
    </xdr:from>
    <xdr:to>
      <xdr:col>11</xdr:col>
      <xdr:colOff>507600</xdr:colOff>
      <xdr:row>25</xdr:row>
      <xdr:rowOff>81360</xdr:rowOff>
    </xdr:to>
    <xdr:graphicFrame>
      <xdr:nvGraphicFramePr>
        <xdr:cNvPr id="20" name="Chart 2"/>
        <xdr:cNvGraphicFramePr/>
      </xdr:nvGraphicFramePr>
      <xdr:xfrm>
        <a:off x="6602760" y="26766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10</xdr:col>
      <xdr:colOff>398880</xdr:colOff>
      <xdr:row>15</xdr:row>
      <xdr:rowOff>136440</xdr:rowOff>
    </xdr:to>
    <xdr:graphicFrame>
      <xdr:nvGraphicFramePr>
        <xdr:cNvPr id="21" name="Chart 1"/>
        <xdr:cNvGraphicFramePr/>
      </xdr:nvGraphicFramePr>
      <xdr:xfrm>
        <a:off x="2960280" y="7333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11</xdr:row>
      <xdr:rowOff>0</xdr:rowOff>
    </xdr:from>
    <xdr:to>
      <xdr:col>13</xdr:col>
      <xdr:colOff>255960</xdr:colOff>
      <xdr:row>26</xdr:row>
      <xdr:rowOff>153720</xdr:rowOff>
    </xdr:to>
    <xdr:graphicFrame>
      <xdr:nvGraphicFramePr>
        <xdr:cNvPr id="22" name="Chart 2"/>
        <xdr:cNvGraphicFramePr/>
      </xdr:nvGraphicFramePr>
      <xdr:xfrm>
        <a:off x="3571920" y="24861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12</xdr:col>
      <xdr:colOff>398880</xdr:colOff>
      <xdr:row>16</xdr:row>
      <xdr:rowOff>12600</xdr:rowOff>
    </xdr:to>
    <xdr:graphicFrame>
      <xdr:nvGraphicFramePr>
        <xdr:cNvPr id="23" name="Chart 1"/>
        <xdr:cNvGraphicFramePr/>
      </xdr:nvGraphicFramePr>
      <xdr:xfrm>
        <a:off x="5827320" y="7333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</xdr:row>
      <xdr:rowOff>0</xdr:rowOff>
    </xdr:from>
    <xdr:to>
      <xdr:col>17</xdr:col>
      <xdr:colOff>398880</xdr:colOff>
      <xdr:row>16</xdr:row>
      <xdr:rowOff>12600</xdr:rowOff>
    </xdr:to>
    <xdr:graphicFrame>
      <xdr:nvGraphicFramePr>
        <xdr:cNvPr id="24" name="Chart 2"/>
        <xdr:cNvGraphicFramePr/>
      </xdr:nvGraphicFramePr>
      <xdr:xfrm>
        <a:off x="8884800" y="7333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11</xdr:col>
      <xdr:colOff>38880</xdr:colOff>
      <xdr:row>16</xdr:row>
      <xdr:rowOff>174600</xdr:rowOff>
    </xdr:to>
    <xdr:graphicFrame>
      <xdr:nvGraphicFramePr>
        <xdr:cNvPr id="25" name="Chart 1"/>
        <xdr:cNvGraphicFramePr/>
      </xdr:nvGraphicFramePr>
      <xdr:xfrm>
        <a:off x="5827320" y="7333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Mechaniki" displayName="TabMechaniki" ref="A4:E152" headerRowCount="1" totalsRowCount="0" totalsRowShown="0">
  <autoFilter ref="A4:E152"/>
  <tableColumns count="5">
    <tableColumn id="1" name="Moduł"/>
    <tableColumn id="2" name="Nr"/>
    <tableColumn id="3" name="Nazwa Mechaniki"/>
    <tableColumn id="4" name="Typ"/>
    <tableColumn id="5" name="Opis"/>
  </tableColumns>
</table>
</file>

<file path=xl/tables/table2.xml><?xml version="1.0" encoding="utf-8"?>
<table xmlns="http://schemas.openxmlformats.org/spreadsheetml/2006/main" id="2" name="TabParametry" displayName="TabParametry" ref="A4:F176" headerRowCount="1" totalsRowCount="0" totalsRowShown="0">
  <autoFilter ref="A4:F176"/>
  <tableColumns count="6">
    <tableColumn id="1" name="Moduł"/>
    <tableColumn id="2" name="Mechanika"/>
    <tableColumn id="3" name="Parametr"/>
    <tableColumn id="4" name="Wartość"/>
    <tableColumn id="5" name="Jednostka / Zakres"/>
    <tableColumn id="6" name="Uwagi"/>
  </tableColumns>
</table>
</file>

<file path=xl/tables/table3.xml><?xml version="1.0" encoding="utf-8"?>
<table xmlns="http://schemas.openxmlformats.org/spreadsheetml/2006/main" id="3" name="TabPrzeglad" displayName="TabPrzeglad" ref="A4:H30" headerRowCount="1" totalsRowCount="0" totalsRowShown="0">
  <autoFilter ref="A4:H30"/>
  <tableColumns count="8">
    <tableColumn id="1" name="Moduł"/>
    <tableColumn id="2" name="Kategoria"/>
    <tableColumn id="3" name="Typ Mechaniki"/>
    <tableColumn id="4" name="Wymagany poziom"/>
    <tableColumn id="5" name="Liczba mechanik"/>
    <tableColumn id="6" name="Parametry liczbowe"/>
    <tableColumn id="7" name="Reguły tekstowe"/>
    <tableColumn id="8" name="Krótki opis"/>
  </tableColumns>
</table>
</file>

<file path=xl/tables/table4.xml><?xml version="1.0" encoding="utf-8"?>
<table xmlns="http://schemas.openxmlformats.org/spreadsheetml/2006/main" id="4" name="TabReguly" displayName="TabReguly" ref="A4:D83" headerRowCount="1" totalsRowCount="0" totalsRowShown="0">
  <autoFilter ref="A4:D83"/>
  <tableColumns count="4">
    <tableColumn id="1" name="Moduł"/>
    <tableColumn id="2" name="Mechanika"/>
    <tableColumn id="3" name="Reguła / Opis"/>
    <tableColumn id="4" name="Typ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5" min="2" style="0" width="30"/>
    <col collapsed="false" customWidth="true" hidden="false" outlineLevel="0" max="6" min="6" style="0" width="4"/>
  </cols>
  <sheetData>
    <row r="3" customFormat="false" ht="33.85" hidden="false" customHeight="false" outlineLevel="0" collapsed="false">
      <c r="B3" s="1" t="s">
        <v>0</v>
      </c>
      <c r="C3" s="1"/>
      <c r="D3" s="1"/>
      <c r="E3" s="1"/>
    </row>
    <row r="4" customFormat="false" ht="19.7" hidden="false" customHeight="false" outlineLevel="0" collapsed="false">
      <c r="B4" s="2" t="s">
        <v>1</v>
      </c>
      <c r="C4" s="2"/>
      <c r="D4" s="2"/>
      <c r="E4" s="2"/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9" customFormat="false" ht="18" hidden="false" customHeight="true" outlineLevel="0" collapsed="false">
      <c r="B9" s="4" t="s">
        <v>3</v>
      </c>
      <c r="C9" s="4"/>
    </row>
    <row r="10" customFormat="false" ht="15" hidden="false" customHeight="true" outlineLevel="0" collapsed="false">
      <c r="B10" s="5" t="s">
        <v>4</v>
      </c>
      <c r="C10" s="6" t="s">
        <v>5</v>
      </c>
      <c r="D10" s="6"/>
      <c r="E10" s="6"/>
    </row>
    <row r="11" customFormat="false" ht="15" hidden="false" customHeight="true" outlineLevel="0" collapsed="false">
      <c r="B11" s="5" t="s">
        <v>6</v>
      </c>
      <c r="C11" s="6" t="s">
        <v>7</v>
      </c>
      <c r="D11" s="6"/>
      <c r="E11" s="6"/>
    </row>
    <row r="12" customFormat="false" ht="15" hidden="false" customHeight="true" outlineLevel="0" collapsed="false">
      <c r="B12" s="5" t="s">
        <v>8</v>
      </c>
      <c r="C12" s="6" t="s">
        <v>9</v>
      </c>
      <c r="D12" s="6"/>
      <c r="E12" s="6"/>
    </row>
    <row r="13" customFormat="false" ht="15" hidden="false" customHeight="true" outlineLevel="0" collapsed="false">
      <c r="B13" s="5" t="s">
        <v>10</v>
      </c>
      <c r="C13" s="6" t="s">
        <v>11</v>
      </c>
      <c r="D13" s="6"/>
      <c r="E13" s="6"/>
    </row>
    <row r="14" customFormat="false" ht="15" hidden="false" customHeight="true" outlineLevel="0" collapsed="false">
      <c r="B14" s="5" t="s">
        <v>12</v>
      </c>
      <c r="C14" s="6" t="s">
        <v>13</v>
      </c>
      <c r="D14" s="6"/>
      <c r="E14" s="6"/>
    </row>
    <row r="15" customFormat="false" ht="15" hidden="false" customHeight="true" outlineLevel="0" collapsed="false">
      <c r="B15" s="5" t="s">
        <v>14</v>
      </c>
      <c r="C15" s="6" t="s">
        <v>15</v>
      </c>
      <c r="D15" s="6"/>
      <c r="E15" s="6"/>
    </row>
    <row r="16" customFormat="false" ht="15" hidden="false" customHeight="true" outlineLevel="0" collapsed="false">
      <c r="B16" s="5" t="s">
        <v>16</v>
      </c>
      <c r="C16" s="6" t="s">
        <v>17</v>
      </c>
      <c r="D16" s="6"/>
      <c r="E16" s="6"/>
    </row>
    <row r="17" customFormat="false" ht="15" hidden="false" customHeight="true" outlineLevel="0" collapsed="false">
      <c r="B17" s="5" t="s">
        <v>18</v>
      </c>
      <c r="C17" s="6" t="s">
        <v>19</v>
      </c>
      <c r="D17" s="6"/>
      <c r="E17" s="6"/>
    </row>
    <row r="18" customFormat="false" ht="15" hidden="false" customHeight="true" outlineLevel="0" collapsed="false">
      <c r="B18" s="5" t="s">
        <v>20</v>
      </c>
      <c r="C18" s="6" t="s">
        <v>21</v>
      </c>
      <c r="D18" s="6"/>
      <c r="E18" s="6"/>
    </row>
    <row r="19" customFormat="false" ht="15" hidden="false" customHeight="true" outlineLevel="0" collapsed="false">
      <c r="B19" s="5" t="s">
        <v>22</v>
      </c>
      <c r="C19" s="6" t="s">
        <v>23</v>
      </c>
      <c r="D19" s="6"/>
      <c r="E19" s="6"/>
    </row>
    <row r="20" customFormat="false" ht="15" hidden="false" customHeight="true" outlineLevel="0" collapsed="false">
      <c r="B20" s="5" t="s">
        <v>24</v>
      </c>
      <c r="C20" s="6" t="s">
        <v>25</v>
      </c>
      <c r="D20" s="6"/>
      <c r="E20" s="6"/>
    </row>
    <row r="21" customFormat="false" ht="15" hidden="false" customHeight="true" outlineLevel="0" collapsed="false">
      <c r="B21" s="5" t="s">
        <v>26</v>
      </c>
      <c r="C21" s="6" t="s">
        <v>27</v>
      </c>
      <c r="D21" s="6"/>
      <c r="E21" s="6"/>
    </row>
    <row r="23" customFormat="false" ht="45" hidden="false" customHeight="true" outlineLevel="0" collapsed="false">
      <c r="B23" s="7" t="s">
        <v>28</v>
      </c>
      <c r="C23" s="7"/>
      <c r="D23" s="7"/>
      <c r="E23" s="7"/>
    </row>
  </sheetData>
  <mergeCells count="17">
    <mergeCell ref="B3:E3"/>
    <mergeCell ref="B4:E4"/>
    <mergeCell ref="B6:E6"/>
    <mergeCell ref="B9:C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55"/>
  </cols>
  <sheetData>
    <row r="1" customFormat="false" ht="27.75" hidden="false" customHeight="true" outlineLevel="0" collapsed="false">
      <c r="A1" s="8" t="s">
        <v>4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9" t="s">
        <v>29</v>
      </c>
      <c r="B2" s="9"/>
      <c r="C2" s="9"/>
      <c r="D2" s="9"/>
      <c r="E2" s="9"/>
      <c r="F2" s="9"/>
      <c r="G2" s="9"/>
      <c r="H2" s="9"/>
    </row>
    <row r="4" customFormat="false" ht="30" hidden="false" customHeight="true" outlineLevel="0" collapsed="false">
      <c r="A4" s="10" t="s">
        <v>30</v>
      </c>
      <c r="B4" s="10" t="s">
        <v>31</v>
      </c>
      <c r="C4" s="10" t="s">
        <v>32</v>
      </c>
      <c r="D4" s="10" t="s">
        <v>33</v>
      </c>
      <c r="E4" s="10" t="s">
        <v>34</v>
      </c>
      <c r="F4" s="10" t="s">
        <v>35</v>
      </c>
      <c r="G4" s="10" t="s">
        <v>36</v>
      </c>
      <c r="H4" s="10" t="s">
        <v>37</v>
      </c>
    </row>
    <row r="5" customFormat="false" ht="23.85" hidden="false" customHeight="false" outlineLevel="0" collapsed="false">
      <c r="A5" s="11" t="s">
        <v>38</v>
      </c>
      <c r="B5" s="11" t="s">
        <v>39</v>
      </c>
      <c r="C5" s="11" t="s">
        <v>40</v>
      </c>
      <c r="D5" s="12" t="s">
        <v>41</v>
      </c>
      <c r="E5" s="13" t="n">
        <f aca="false">COUNTIF('Wszystkie Mechaniki'!$A:$A,A5)</f>
        <v>6</v>
      </c>
      <c r="F5" s="13" t="n">
        <f aca="false">COUNTIF('Parametry Liczbowe'!$A:$A,A5)</f>
        <v>0</v>
      </c>
      <c r="G5" s="13" t="n">
        <f aca="false">COUNTIF('Reguły Tekstowe'!$A:$A,A5)</f>
        <v>4</v>
      </c>
      <c r="H5" s="11" t="s">
        <v>42</v>
      </c>
    </row>
    <row r="6" customFormat="false" ht="23.85" hidden="false" customHeight="false" outlineLevel="0" collapsed="false">
      <c r="A6" s="14" t="s">
        <v>43</v>
      </c>
      <c r="B6" s="14" t="s">
        <v>44</v>
      </c>
      <c r="C6" s="14" t="s">
        <v>40</v>
      </c>
      <c r="D6" s="15" t="s">
        <v>41</v>
      </c>
      <c r="E6" s="16" t="n">
        <f aca="false">COUNTIF('Wszystkie Mechaniki'!$A:$A,A6)</f>
        <v>5</v>
      </c>
      <c r="F6" s="16" t="n">
        <f aca="false">COUNTIF('Parametry Liczbowe'!$A:$A,A6)</f>
        <v>0</v>
      </c>
      <c r="G6" s="16" t="n">
        <f aca="false">COUNTIF('Reguły Tekstowe'!$A:$A,A6)</f>
        <v>2</v>
      </c>
      <c r="H6" s="14" t="s">
        <v>45</v>
      </c>
    </row>
    <row r="7" customFormat="false" ht="23.85" hidden="false" customHeight="false" outlineLevel="0" collapsed="false">
      <c r="A7" s="11" t="s">
        <v>46</v>
      </c>
      <c r="B7" s="11" t="s">
        <v>47</v>
      </c>
      <c r="C7" s="11" t="s">
        <v>40</v>
      </c>
      <c r="D7" s="12" t="s">
        <v>41</v>
      </c>
      <c r="E7" s="13" t="n">
        <f aca="false">COUNTIF('Wszystkie Mechaniki'!$A:$A,A7)</f>
        <v>4</v>
      </c>
      <c r="F7" s="13" t="n">
        <f aca="false">COUNTIF('Parametry Liczbowe'!$A:$A,A7)</f>
        <v>6</v>
      </c>
      <c r="G7" s="13" t="n">
        <f aca="false">COUNTIF('Reguły Tekstowe'!$A:$A,A7)</f>
        <v>4</v>
      </c>
      <c r="H7" s="11" t="s">
        <v>48</v>
      </c>
    </row>
    <row r="8" customFormat="false" ht="23.85" hidden="false" customHeight="false" outlineLevel="0" collapsed="false">
      <c r="A8" s="14" t="s">
        <v>49</v>
      </c>
      <c r="B8" s="14" t="s">
        <v>50</v>
      </c>
      <c r="C8" s="14" t="s">
        <v>51</v>
      </c>
      <c r="D8" s="15" t="s">
        <v>41</v>
      </c>
      <c r="E8" s="16" t="n">
        <f aca="false">COUNTIF('Wszystkie Mechaniki'!$A:$A,A8)</f>
        <v>11</v>
      </c>
      <c r="F8" s="16" t="n">
        <f aca="false">COUNTIF('Parametry Liczbowe'!$A:$A,A8)</f>
        <v>30</v>
      </c>
      <c r="G8" s="16" t="n">
        <f aca="false">COUNTIF('Reguły Tekstowe'!$A:$A,A8)</f>
        <v>5</v>
      </c>
      <c r="H8" s="14" t="s">
        <v>52</v>
      </c>
    </row>
    <row r="9" customFormat="false" ht="23.85" hidden="false" customHeight="false" outlineLevel="0" collapsed="false">
      <c r="A9" s="11" t="s">
        <v>53</v>
      </c>
      <c r="B9" s="11" t="s">
        <v>50</v>
      </c>
      <c r="C9" s="11" t="s">
        <v>40</v>
      </c>
      <c r="D9" s="12" t="s">
        <v>54</v>
      </c>
      <c r="E9" s="13" t="n">
        <f aca="false">COUNTIF('Wszystkie Mechaniki'!$A:$A,A9)</f>
        <v>7</v>
      </c>
      <c r="F9" s="13" t="n">
        <f aca="false">COUNTIF('Parametry Liczbowe'!$A:$A,A9)</f>
        <v>5</v>
      </c>
      <c r="G9" s="13" t="n">
        <f aca="false">COUNTIF('Reguły Tekstowe'!$A:$A,A9)</f>
        <v>3</v>
      </c>
      <c r="H9" s="11" t="s">
        <v>55</v>
      </c>
    </row>
    <row r="10" customFormat="false" ht="15" hidden="false" customHeight="false" outlineLevel="0" collapsed="false">
      <c r="A10" s="14" t="s">
        <v>56</v>
      </c>
      <c r="B10" s="14" t="s">
        <v>44</v>
      </c>
      <c r="C10" s="14" t="s">
        <v>51</v>
      </c>
      <c r="D10" s="15" t="s">
        <v>41</v>
      </c>
      <c r="E10" s="16" t="n">
        <f aca="false">COUNTIF('Wszystkie Mechaniki'!$A:$A,A10)</f>
        <v>7</v>
      </c>
      <c r="F10" s="16" t="n">
        <f aca="false">COUNTIF('Parametry Liczbowe'!$A:$A,A10)</f>
        <v>5</v>
      </c>
      <c r="G10" s="16" t="n">
        <f aca="false">COUNTIF('Reguły Tekstowe'!$A:$A,A10)</f>
        <v>3</v>
      </c>
      <c r="H10" s="14" t="s">
        <v>57</v>
      </c>
    </row>
    <row r="11" customFormat="false" ht="23.85" hidden="false" customHeight="false" outlineLevel="0" collapsed="false">
      <c r="A11" s="11" t="s">
        <v>58</v>
      </c>
      <c r="B11" s="11" t="s">
        <v>59</v>
      </c>
      <c r="C11" s="11" t="s">
        <v>40</v>
      </c>
      <c r="D11" s="12" t="s">
        <v>41</v>
      </c>
      <c r="E11" s="13" t="n">
        <f aca="false">COUNTIF('Wszystkie Mechaniki'!$A:$A,A11)</f>
        <v>7</v>
      </c>
      <c r="F11" s="13" t="n">
        <f aca="false">COUNTIF('Parametry Liczbowe'!$A:$A,A11)</f>
        <v>8</v>
      </c>
      <c r="G11" s="13" t="n">
        <f aca="false">COUNTIF('Reguły Tekstowe'!$A:$A,A11)</f>
        <v>4</v>
      </c>
      <c r="H11" s="11" t="s">
        <v>60</v>
      </c>
    </row>
    <row r="12" customFormat="false" ht="15" hidden="false" customHeight="false" outlineLevel="0" collapsed="false">
      <c r="A12" s="14" t="s">
        <v>61</v>
      </c>
      <c r="B12" s="14" t="s">
        <v>59</v>
      </c>
      <c r="C12" s="14" t="s">
        <v>40</v>
      </c>
      <c r="D12" s="15" t="s">
        <v>62</v>
      </c>
      <c r="E12" s="16" t="n">
        <f aca="false">COUNTIF('Wszystkie Mechaniki'!$A:$A,A12)</f>
        <v>6</v>
      </c>
      <c r="F12" s="16" t="n">
        <f aca="false">COUNTIF('Parametry Liczbowe'!$A:$A,A12)</f>
        <v>6</v>
      </c>
      <c r="G12" s="16" t="n">
        <f aca="false">COUNTIF('Reguły Tekstowe'!$A:$A,A12)</f>
        <v>4</v>
      </c>
      <c r="H12" s="14" t="s">
        <v>63</v>
      </c>
    </row>
    <row r="13" customFormat="false" ht="15" hidden="false" customHeight="false" outlineLevel="0" collapsed="false">
      <c r="A13" s="11" t="s">
        <v>64</v>
      </c>
      <c r="B13" s="11" t="s">
        <v>44</v>
      </c>
      <c r="C13" s="11" t="s">
        <v>51</v>
      </c>
      <c r="D13" s="12" t="s">
        <v>41</v>
      </c>
      <c r="E13" s="13" t="n">
        <f aca="false">COUNTIF('Wszystkie Mechaniki'!$A:$A,A13)</f>
        <v>4</v>
      </c>
      <c r="F13" s="13" t="n">
        <f aca="false">COUNTIF('Parametry Liczbowe'!$A:$A,A13)</f>
        <v>7</v>
      </c>
      <c r="G13" s="13" t="n">
        <f aca="false">COUNTIF('Reguły Tekstowe'!$A:$A,A13)</f>
        <v>3</v>
      </c>
      <c r="H13" s="11" t="s">
        <v>65</v>
      </c>
    </row>
    <row r="14" customFormat="false" ht="23.85" hidden="false" customHeight="false" outlineLevel="0" collapsed="false">
      <c r="A14" s="14" t="s">
        <v>66</v>
      </c>
      <c r="B14" s="14" t="s">
        <v>50</v>
      </c>
      <c r="C14" s="14" t="s">
        <v>51</v>
      </c>
      <c r="D14" s="15" t="s">
        <v>41</v>
      </c>
      <c r="E14" s="16" t="n">
        <f aca="false">COUNTIF('Wszystkie Mechaniki'!$A:$A,A14)</f>
        <v>6</v>
      </c>
      <c r="F14" s="16" t="n">
        <f aca="false">COUNTIF('Parametry Liczbowe'!$A:$A,A14)</f>
        <v>3</v>
      </c>
      <c r="G14" s="16" t="n">
        <f aca="false">COUNTIF('Reguły Tekstowe'!$A:$A,A14)</f>
        <v>2</v>
      </c>
      <c r="H14" s="14" t="s">
        <v>67</v>
      </c>
    </row>
    <row r="15" customFormat="false" ht="23.85" hidden="false" customHeight="false" outlineLevel="0" collapsed="false">
      <c r="A15" s="11" t="s">
        <v>68</v>
      </c>
      <c r="B15" s="11" t="s">
        <v>69</v>
      </c>
      <c r="C15" s="11" t="s">
        <v>70</v>
      </c>
      <c r="D15" s="12" t="s">
        <v>41</v>
      </c>
      <c r="E15" s="13" t="n">
        <f aca="false">COUNTIF('Wszystkie Mechaniki'!$A:$A,A15)</f>
        <v>4</v>
      </c>
      <c r="F15" s="13" t="n">
        <f aca="false">COUNTIF('Parametry Liczbowe'!$A:$A,A15)</f>
        <v>1</v>
      </c>
      <c r="G15" s="13" t="n">
        <f aca="false">COUNTIF('Reguły Tekstowe'!$A:$A,A15)</f>
        <v>2</v>
      </c>
      <c r="H15" s="11" t="s">
        <v>71</v>
      </c>
    </row>
    <row r="16" customFormat="false" ht="23.85" hidden="false" customHeight="false" outlineLevel="0" collapsed="false">
      <c r="A16" s="14" t="s">
        <v>72</v>
      </c>
      <c r="B16" s="14" t="s">
        <v>44</v>
      </c>
      <c r="C16" s="14" t="s">
        <v>40</v>
      </c>
      <c r="D16" s="15" t="s">
        <v>41</v>
      </c>
      <c r="E16" s="16" t="n">
        <f aca="false">COUNTIF('Wszystkie Mechaniki'!$A:$A,A16)</f>
        <v>6</v>
      </c>
      <c r="F16" s="16" t="n">
        <f aca="false">COUNTIF('Parametry Liczbowe'!$A:$A,A16)</f>
        <v>4</v>
      </c>
      <c r="G16" s="16" t="n">
        <f aca="false">COUNTIF('Reguły Tekstowe'!$A:$A,A16)</f>
        <v>2</v>
      </c>
      <c r="H16" s="14" t="s">
        <v>73</v>
      </c>
    </row>
    <row r="17" customFormat="false" ht="23.85" hidden="false" customHeight="false" outlineLevel="0" collapsed="false">
      <c r="A17" s="11" t="s">
        <v>74</v>
      </c>
      <c r="B17" s="11" t="s">
        <v>39</v>
      </c>
      <c r="C17" s="11" t="s">
        <v>51</v>
      </c>
      <c r="D17" s="12" t="s">
        <v>75</v>
      </c>
      <c r="E17" s="13" t="n">
        <f aca="false">COUNTIF('Wszystkie Mechaniki'!$A:$A,A17)</f>
        <v>5</v>
      </c>
      <c r="F17" s="13" t="n">
        <f aca="false">COUNTIF('Parametry Liczbowe'!$A:$A,A17)</f>
        <v>9</v>
      </c>
      <c r="G17" s="13" t="n">
        <f aca="false">COUNTIF('Reguły Tekstowe'!$A:$A,A17)</f>
        <v>3</v>
      </c>
      <c r="H17" s="11" t="s">
        <v>76</v>
      </c>
    </row>
    <row r="18" customFormat="false" ht="23.85" hidden="false" customHeight="false" outlineLevel="0" collapsed="false">
      <c r="A18" s="14" t="s">
        <v>77</v>
      </c>
      <c r="B18" s="14" t="s">
        <v>39</v>
      </c>
      <c r="C18" s="14" t="s">
        <v>51</v>
      </c>
      <c r="D18" s="15" t="s">
        <v>41</v>
      </c>
      <c r="E18" s="16" t="n">
        <f aca="false">COUNTIF('Wszystkie Mechaniki'!$A:$A,A18)</f>
        <v>13</v>
      </c>
      <c r="F18" s="16" t="n">
        <f aca="false">COUNTIF('Parametry Liczbowe'!$A:$A,A18)</f>
        <v>11</v>
      </c>
      <c r="G18" s="16" t="n">
        <f aca="false">COUNTIF('Reguły Tekstowe'!$A:$A,A18)</f>
        <v>5</v>
      </c>
      <c r="H18" s="14" t="s">
        <v>78</v>
      </c>
    </row>
    <row r="19" customFormat="false" ht="23.85" hidden="false" customHeight="false" outlineLevel="0" collapsed="false">
      <c r="A19" s="11" t="s">
        <v>79</v>
      </c>
      <c r="B19" s="11" t="s">
        <v>47</v>
      </c>
      <c r="C19" s="11" t="s">
        <v>40</v>
      </c>
      <c r="D19" s="12" t="s">
        <v>41</v>
      </c>
      <c r="E19" s="13" t="n">
        <f aca="false">COUNTIF('Wszystkie Mechaniki'!$A:$A,A19)</f>
        <v>6</v>
      </c>
      <c r="F19" s="13" t="n">
        <f aca="false">COUNTIF('Parametry Liczbowe'!$A:$A,A19)</f>
        <v>11</v>
      </c>
      <c r="G19" s="13" t="n">
        <f aca="false">COUNTIF('Reguły Tekstowe'!$A:$A,A19)</f>
        <v>4</v>
      </c>
      <c r="H19" s="11" t="s">
        <v>80</v>
      </c>
    </row>
    <row r="20" customFormat="false" ht="23.85" hidden="false" customHeight="false" outlineLevel="0" collapsed="false">
      <c r="A20" s="14" t="s">
        <v>81</v>
      </c>
      <c r="B20" s="14" t="s">
        <v>82</v>
      </c>
      <c r="C20" s="14" t="s">
        <v>51</v>
      </c>
      <c r="D20" s="15" t="s">
        <v>83</v>
      </c>
      <c r="E20" s="16" t="n">
        <f aca="false">COUNTIF('Wszystkie Mechaniki'!$A:$A,A20)</f>
        <v>5</v>
      </c>
      <c r="F20" s="16" t="n">
        <f aca="false">COUNTIF('Parametry Liczbowe'!$A:$A,A20)</f>
        <v>6</v>
      </c>
      <c r="G20" s="16" t="n">
        <f aca="false">COUNTIF('Reguły Tekstowe'!$A:$A,A20)</f>
        <v>2</v>
      </c>
      <c r="H20" s="14" t="s">
        <v>84</v>
      </c>
    </row>
    <row r="21" customFormat="false" ht="15" hidden="false" customHeight="false" outlineLevel="0" collapsed="false">
      <c r="A21" s="11" t="s">
        <v>85</v>
      </c>
      <c r="B21" s="11" t="s">
        <v>39</v>
      </c>
      <c r="C21" s="11" t="s">
        <v>40</v>
      </c>
      <c r="D21" s="12" t="s">
        <v>86</v>
      </c>
      <c r="E21" s="13" t="n">
        <f aca="false">COUNTIF('Wszystkie Mechaniki'!$A:$A,A21)</f>
        <v>4</v>
      </c>
      <c r="F21" s="13" t="n">
        <f aca="false">COUNTIF('Parametry Liczbowe'!$A:$A,A21)</f>
        <v>3</v>
      </c>
      <c r="G21" s="13" t="n">
        <f aca="false">COUNTIF('Reguły Tekstowe'!$A:$A,A21)</f>
        <v>3</v>
      </c>
      <c r="H21" s="11" t="s">
        <v>87</v>
      </c>
    </row>
    <row r="22" customFormat="false" ht="15" hidden="false" customHeight="false" outlineLevel="0" collapsed="false">
      <c r="A22" s="14" t="s">
        <v>88</v>
      </c>
      <c r="B22" s="14" t="s">
        <v>69</v>
      </c>
      <c r="C22" s="14" t="s">
        <v>70</v>
      </c>
      <c r="D22" s="15" t="s">
        <v>41</v>
      </c>
      <c r="E22" s="16" t="n">
        <f aca="false">COUNTIF('Wszystkie Mechaniki'!$A:$A,A22)</f>
        <v>2</v>
      </c>
      <c r="F22" s="16" t="n">
        <f aca="false">COUNTIF('Parametry Liczbowe'!$A:$A,A22)</f>
        <v>0</v>
      </c>
      <c r="G22" s="16" t="n">
        <f aca="false">COUNTIF('Reguły Tekstowe'!$A:$A,A22)</f>
        <v>2</v>
      </c>
      <c r="H22" s="14" t="s">
        <v>89</v>
      </c>
    </row>
    <row r="23" customFormat="false" ht="23.85" hidden="false" customHeight="false" outlineLevel="0" collapsed="false">
      <c r="A23" s="11" t="s">
        <v>90</v>
      </c>
      <c r="B23" s="11" t="s">
        <v>47</v>
      </c>
      <c r="C23" s="11" t="s">
        <v>51</v>
      </c>
      <c r="D23" s="12" t="s">
        <v>41</v>
      </c>
      <c r="E23" s="13" t="n">
        <f aca="false">COUNTIF('Wszystkie Mechaniki'!$A:$A,A23)</f>
        <v>9</v>
      </c>
      <c r="F23" s="13" t="n">
        <f aca="false">COUNTIF('Parametry Liczbowe'!$A:$A,A23)</f>
        <v>6</v>
      </c>
      <c r="G23" s="13" t="n">
        <f aca="false">COUNTIF('Reguły Tekstowe'!$A:$A,A23)</f>
        <v>3</v>
      </c>
      <c r="H23" s="11" t="s">
        <v>91</v>
      </c>
    </row>
    <row r="24" customFormat="false" ht="23.85" hidden="false" customHeight="false" outlineLevel="0" collapsed="false">
      <c r="A24" s="14" t="s">
        <v>92</v>
      </c>
      <c r="B24" s="14" t="s">
        <v>69</v>
      </c>
      <c r="C24" s="14" t="s">
        <v>70</v>
      </c>
      <c r="D24" s="15" t="s">
        <v>41</v>
      </c>
      <c r="E24" s="16" t="n">
        <f aca="false">COUNTIF('Wszystkie Mechaniki'!$A:$A,A24)</f>
        <v>3</v>
      </c>
      <c r="F24" s="16" t="n">
        <f aca="false">COUNTIF('Parametry Liczbowe'!$A:$A,A24)</f>
        <v>0</v>
      </c>
      <c r="G24" s="16" t="n">
        <f aca="false">COUNTIF('Reguły Tekstowe'!$A:$A,A24)</f>
        <v>2</v>
      </c>
      <c r="H24" s="14" t="s">
        <v>93</v>
      </c>
    </row>
    <row r="25" customFormat="false" ht="23.85" hidden="false" customHeight="false" outlineLevel="0" collapsed="false">
      <c r="A25" s="11" t="s">
        <v>94</v>
      </c>
      <c r="B25" s="11" t="s">
        <v>69</v>
      </c>
      <c r="C25" s="11" t="s">
        <v>40</v>
      </c>
      <c r="D25" s="12" t="s">
        <v>95</v>
      </c>
      <c r="E25" s="13" t="n">
        <f aca="false">COUNTIF('Wszystkie Mechaniki'!$A:$A,A25)</f>
        <v>5</v>
      </c>
      <c r="F25" s="13" t="n">
        <f aca="false">COUNTIF('Parametry Liczbowe'!$A:$A,A25)</f>
        <v>8</v>
      </c>
      <c r="G25" s="13" t="n">
        <f aca="false">COUNTIF('Reguły Tekstowe'!$A:$A,A25)</f>
        <v>2</v>
      </c>
      <c r="H25" s="11" t="s">
        <v>96</v>
      </c>
    </row>
    <row r="26" customFormat="false" ht="15" hidden="false" customHeight="false" outlineLevel="0" collapsed="false">
      <c r="A26" s="14" t="s">
        <v>97</v>
      </c>
      <c r="B26" s="14" t="s">
        <v>47</v>
      </c>
      <c r="C26" s="14" t="s">
        <v>51</v>
      </c>
      <c r="D26" s="15" t="s">
        <v>41</v>
      </c>
      <c r="E26" s="16" t="n">
        <f aca="false">COUNTIF('Wszystkie Mechaniki'!$A:$A,A26)</f>
        <v>3</v>
      </c>
      <c r="F26" s="16" t="n">
        <f aca="false">COUNTIF('Parametry Liczbowe'!$A:$A,A26)</f>
        <v>3</v>
      </c>
      <c r="G26" s="16" t="n">
        <f aca="false">COUNTIF('Reguły Tekstowe'!$A:$A,A26)</f>
        <v>1</v>
      </c>
      <c r="H26" s="14" t="s">
        <v>98</v>
      </c>
    </row>
    <row r="27" customFormat="false" ht="23.85" hidden="false" customHeight="false" outlineLevel="0" collapsed="false">
      <c r="A27" s="11" t="s">
        <v>99</v>
      </c>
      <c r="B27" s="11" t="s">
        <v>82</v>
      </c>
      <c r="C27" s="11" t="s">
        <v>51</v>
      </c>
      <c r="D27" s="12" t="s">
        <v>41</v>
      </c>
      <c r="E27" s="13" t="n">
        <f aca="false">COUNTIF('Wszystkie Mechaniki'!$A:$A,A27)</f>
        <v>4</v>
      </c>
      <c r="F27" s="13" t="n">
        <f aca="false">COUNTIF('Parametry Liczbowe'!$A:$A,A27)</f>
        <v>6</v>
      </c>
      <c r="G27" s="13" t="n">
        <f aca="false">COUNTIF('Reguły Tekstowe'!$A:$A,A27)</f>
        <v>2</v>
      </c>
      <c r="H27" s="11" t="s">
        <v>100</v>
      </c>
    </row>
    <row r="28" customFormat="false" ht="23.85" hidden="false" customHeight="false" outlineLevel="0" collapsed="false">
      <c r="A28" s="14" t="s">
        <v>101</v>
      </c>
      <c r="B28" s="14" t="s">
        <v>44</v>
      </c>
      <c r="C28" s="14" t="s">
        <v>51</v>
      </c>
      <c r="D28" s="15" t="s">
        <v>41</v>
      </c>
      <c r="E28" s="16" t="n">
        <f aca="false">COUNTIF('Wszystkie Mechaniki'!$A:$A,A28)</f>
        <v>4</v>
      </c>
      <c r="F28" s="16" t="n">
        <f aca="false">COUNTIF('Parametry Liczbowe'!$A:$A,A28)</f>
        <v>9</v>
      </c>
      <c r="G28" s="16" t="n">
        <f aca="false">COUNTIF('Reguły Tekstowe'!$A:$A,A28)</f>
        <v>2</v>
      </c>
      <c r="H28" s="14" t="s">
        <v>102</v>
      </c>
    </row>
    <row r="29" customFormat="false" ht="23.85" hidden="false" customHeight="false" outlineLevel="0" collapsed="false">
      <c r="A29" s="11" t="s">
        <v>103</v>
      </c>
      <c r="B29" s="11" t="s">
        <v>47</v>
      </c>
      <c r="C29" s="11" t="s">
        <v>51</v>
      </c>
      <c r="D29" s="12" t="s">
        <v>41</v>
      </c>
      <c r="E29" s="13" t="n">
        <f aca="false">COUNTIF('Wszystkie Mechaniki'!$A:$A,A29)</f>
        <v>5</v>
      </c>
      <c r="F29" s="13" t="n">
        <f aca="false">COUNTIF('Parametry Liczbowe'!$A:$A,A29)</f>
        <v>14</v>
      </c>
      <c r="G29" s="13" t="n">
        <f aca="false">COUNTIF('Reguły Tekstowe'!$A:$A,A29)</f>
        <v>3</v>
      </c>
      <c r="H29" s="11" t="s">
        <v>104</v>
      </c>
    </row>
    <row r="30" customFormat="false" ht="23.85" hidden="false" customHeight="false" outlineLevel="0" collapsed="false">
      <c r="A30" s="14" t="s">
        <v>105</v>
      </c>
      <c r="B30" s="14" t="s">
        <v>50</v>
      </c>
      <c r="C30" s="14" t="s">
        <v>51</v>
      </c>
      <c r="D30" s="15" t="s">
        <v>41</v>
      </c>
      <c r="E30" s="16" t="n">
        <f aca="false">COUNTIF('Wszystkie Mechaniki'!$A:$A,A30)</f>
        <v>7</v>
      </c>
      <c r="F30" s="16" t="n">
        <f aca="false">COUNTIF('Parametry Liczbowe'!$A:$A,A30)</f>
        <v>11</v>
      </c>
      <c r="G30" s="16" t="n">
        <f aca="false">COUNTIF('Reguły Tekstowe'!$A:$A,A30)</f>
        <v>4</v>
      </c>
      <c r="H30" s="14" t="s">
        <v>106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75"/>
  </cols>
  <sheetData>
    <row r="1" customFormat="false" ht="27.75" hidden="false" customHeight="true" outlineLevel="0" collapsed="false">
      <c r="A1" s="8" t="s">
        <v>6</v>
      </c>
      <c r="B1" s="8"/>
      <c r="C1" s="8"/>
      <c r="D1" s="8"/>
      <c r="E1" s="8"/>
    </row>
    <row r="2" customFormat="false" ht="15" hidden="false" customHeight="false" outlineLevel="0" collapsed="false">
      <c r="A2" s="9" t="s">
        <v>107</v>
      </c>
      <c r="B2" s="9"/>
      <c r="C2" s="9"/>
      <c r="D2" s="9"/>
      <c r="E2" s="9"/>
    </row>
    <row r="4" customFormat="false" ht="30" hidden="false" customHeight="true" outlineLevel="0" collapsed="false">
      <c r="A4" s="10" t="s">
        <v>30</v>
      </c>
      <c r="B4" s="10" t="s">
        <v>108</v>
      </c>
      <c r="C4" s="10" t="s">
        <v>109</v>
      </c>
      <c r="D4" s="10" t="s">
        <v>110</v>
      </c>
      <c r="E4" s="10" t="s">
        <v>111</v>
      </c>
    </row>
    <row r="5" customFormat="false" ht="23.85" hidden="false" customHeight="false" outlineLevel="0" collapsed="false">
      <c r="A5" s="11" t="s">
        <v>38</v>
      </c>
      <c r="B5" s="12" t="n">
        <v>1</v>
      </c>
      <c r="C5" s="11" t="s">
        <v>112</v>
      </c>
      <c r="D5" s="11" t="s">
        <v>70</v>
      </c>
      <c r="E5" s="11" t="s">
        <v>113</v>
      </c>
    </row>
    <row r="6" customFormat="false" ht="23.85" hidden="false" customHeight="false" outlineLevel="0" collapsed="false">
      <c r="A6" s="14" t="s">
        <v>38</v>
      </c>
      <c r="B6" s="15" t="n">
        <v>2</v>
      </c>
      <c r="C6" s="14" t="s">
        <v>114</v>
      </c>
      <c r="D6" s="14" t="s">
        <v>70</v>
      </c>
      <c r="E6" s="14" t="s">
        <v>115</v>
      </c>
    </row>
    <row r="7" customFormat="false" ht="23.85" hidden="false" customHeight="false" outlineLevel="0" collapsed="false">
      <c r="A7" s="11" t="s">
        <v>38</v>
      </c>
      <c r="B7" s="12" t="n">
        <v>3</v>
      </c>
      <c r="C7" s="11" t="s">
        <v>116</v>
      </c>
      <c r="D7" s="11" t="s">
        <v>40</v>
      </c>
      <c r="E7" s="11" t="s">
        <v>117</v>
      </c>
    </row>
    <row r="8" customFormat="false" ht="15" hidden="false" customHeight="false" outlineLevel="0" collapsed="false">
      <c r="A8" s="14" t="s">
        <v>38</v>
      </c>
      <c r="B8" s="15" t="n">
        <v>4</v>
      </c>
      <c r="C8" s="14" t="s">
        <v>118</v>
      </c>
      <c r="D8" s="14" t="s">
        <v>70</v>
      </c>
      <c r="E8" s="14" t="s">
        <v>119</v>
      </c>
    </row>
    <row r="9" customFormat="false" ht="23.85" hidden="false" customHeight="false" outlineLevel="0" collapsed="false">
      <c r="A9" s="11" t="s">
        <v>38</v>
      </c>
      <c r="B9" s="12" t="n">
        <v>5</v>
      </c>
      <c r="C9" s="11" t="s">
        <v>120</v>
      </c>
      <c r="D9" s="11" t="s">
        <v>70</v>
      </c>
      <c r="E9" s="11" t="s">
        <v>121</v>
      </c>
    </row>
    <row r="10" customFormat="false" ht="15" hidden="false" customHeight="false" outlineLevel="0" collapsed="false">
      <c r="A10" s="14" t="s">
        <v>38</v>
      </c>
      <c r="B10" s="15" t="n">
        <v>6</v>
      </c>
      <c r="C10" s="14" t="s">
        <v>122</v>
      </c>
      <c r="D10" s="14" t="s">
        <v>70</v>
      </c>
      <c r="E10" s="14" t="s">
        <v>123</v>
      </c>
    </row>
    <row r="11" customFormat="false" ht="15" hidden="false" customHeight="false" outlineLevel="0" collapsed="false">
      <c r="A11" s="11" t="s">
        <v>43</v>
      </c>
      <c r="B11" s="12" t="n">
        <v>1</v>
      </c>
      <c r="C11" s="11" t="s">
        <v>124</v>
      </c>
      <c r="D11" s="11" t="s">
        <v>70</v>
      </c>
      <c r="E11" s="11" t="s">
        <v>125</v>
      </c>
    </row>
    <row r="12" customFormat="false" ht="15" hidden="false" customHeight="false" outlineLevel="0" collapsed="false">
      <c r="A12" s="14" t="s">
        <v>43</v>
      </c>
      <c r="B12" s="15" t="n">
        <v>2</v>
      </c>
      <c r="C12" s="14" t="s">
        <v>126</v>
      </c>
      <c r="D12" s="14" t="s">
        <v>40</v>
      </c>
      <c r="E12" s="14" t="s">
        <v>127</v>
      </c>
    </row>
    <row r="13" customFormat="false" ht="15" hidden="false" customHeight="false" outlineLevel="0" collapsed="false">
      <c r="A13" s="11" t="s">
        <v>43</v>
      </c>
      <c r="B13" s="12" t="n">
        <v>3</v>
      </c>
      <c r="C13" s="11" t="s">
        <v>128</v>
      </c>
      <c r="D13" s="11" t="s">
        <v>40</v>
      </c>
      <c r="E13" s="11" t="s">
        <v>129</v>
      </c>
    </row>
    <row r="14" customFormat="false" ht="15" hidden="false" customHeight="false" outlineLevel="0" collapsed="false">
      <c r="A14" s="14" t="s">
        <v>43</v>
      </c>
      <c r="B14" s="15" t="n">
        <v>4</v>
      </c>
      <c r="C14" s="14" t="s">
        <v>130</v>
      </c>
      <c r="D14" s="14" t="s">
        <v>70</v>
      </c>
      <c r="E14" s="14" t="s">
        <v>131</v>
      </c>
    </row>
    <row r="15" customFormat="false" ht="15" hidden="false" customHeight="false" outlineLevel="0" collapsed="false">
      <c r="A15" s="11" t="s">
        <v>43</v>
      </c>
      <c r="B15" s="12" t="n">
        <v>5</v>
      </c>
      <c r="C15" s="11" t="s">
        <v>132</v>
      </c>
      <c r="D15" s="11" t="s">
        <v>70</v>
      </c>
      <c r="E15" s="11" t="s">
        <v>133</v>
      </c>
    </row>
    <row r="16" customFormat="false" ht="15" hidden="false" customHeight="false" outlineLevel="0" collapsed="false">
      <c r="A16" s="14" t="s">
        <v>46</v>
      </c>
      <c r="B16" s="15" t="n">
        <v>1</v>
      </c>
      <c r="C16" s="14" t="s">
        <v>134</v>
      </c>
      <c r="D16" s="14" t="s">
        <v>51</v>
      </c>
      <c r="E16" s="14" t="s">
        <v>135</v>
      </c>
    </row>
    <row r="17" customFormat="false" ht="15" hidden="false" customHeight="false" outlineLevel="0" collapsed="false">
      <c r="A17" s="11" t="s">
        <v>46</v>
      </c>
      <c r="B17" s="12" t="n">
        <v>2</v>
      </c>
      <c r="C17" s="11" t="s">
        <v>136</v>
      </c>
      <c r="D17" s="11" t="s">
        <v>51</v>
      </c>
      <c r="E17" s="11" t="s">
        <v>137</v>
      </c>
    </row>
    <row r="18" customFormat="false" ht="15" hidden="false" customHeight="false" outlineLevel="0" collapsed="false">
      <c r="A18" s="14" t="s">
        <v>46</v>
      </c>
      <c r="B18" s="15" t="n">
        <v>3</v>
      </c>
      <c r="C18" s="14" t="s">
        <v>138</v>
      </c>
      <c r="D18" s="14" t="s">
        <v>70</v>
      </c>
      <c r="E18" s="14" t="s">
        <v>139</v>
      </c>
    </row>
    <row r="19" customFormat="false" ht="15" hidden="false" customHeight="false" outlineLevel="0" collapsed="false">
      <c r="A19" s="11" t="s">
        <v>46</v>
      </c>
      <c r="B19" s="12" t="n">
        <v>4</v>
      </c>
      <c r="C19" s="11" t="s">
        <v>140</v>
      </c>
      <c r="D19" s="11" t="s">
        <v>70</v>
      </c>
      <c r="E19" s="11" t="s">
        <v>141</v>
      </c>
    </row>
    <row r="20" customFormat="false" ht="15" hidden="false" customHeight="false" outlineLevel="0" collapsed="false">
      <c r="A20" s="14" t="s">
        <v>49</v>
      </c>
      <c r="B20" s="15" t="n">
        <v>1</v>
      </c>
      <c r="C20" s="14" t="s">
        <v>142</v>
      </c>
      <c r="D20" s="14" t="s">
        <v>51</v>
      </c>
      <c r="E20" s="14" t="s">
        <v>143</v>
      </c>
    </row>
    <row r="21" customFormat="false" ht="15" hidden="false" customHeight="false" outlineLevel="0" collapsed="false">
      <c r="A21" s="11" t="s">
        <v>49</v>
      </c>
      <c r="B21" s="12" t="n">
        <v>2</v>
      </c>
      <c r="C21" s="11" t="s">
        <v>144</v>
      </c>
      <c r="D21" s="11" t="s">
        <v>51</v>
      </c>
      <c r="E21" s="11" t="s">
        <v>145</v>
      </c>
    </row>
    <row r="22" customFormat="false" ht="15" hidden="false" customHeight="false" outlineLevel="0" collapsed="false">
      <c r="A22" s="14" t="s">
        <v>49</v>
      </c>
      <c r="B22" s="15" t="n">
        <v>3</v>
      </c>
      <c r="C22" s="14" t="s">
        <v>146</v>
      </c>
      <c r="D22" s="14" t="s">
        <v>40</v>
      </c>
      <c r="E22" s="14" t="s">
        <v>147</v>
      </c>
    </row>
    <row r="23" customFormat="false" ht="15" hidden="false" customHeight="false" outlineLevel="0" collapsed="false">
      <c r="A23" s="11" t="s">
        <v>49</v>
      </c>
      <c r="B23" s="12" t="n">
        <v>4</v>
      </c>
      <c r="C23" s="11" t="s">
        <v>148</v>
      </c>
      <c r="D23" s="11" t="s">
        <v>51</v>
      </c>
      <c r="E23" s="11" t="s">
        <v>149</v>
      </c>
    </row>
    <row r="24" customFormat="false" ht="15" hidden="false" customHeight="false" outlineLevel="0" collapsed="false">
      <c r="A24" s="14" t="s">
        <v>49</v>
      </c>
      <c r="B24" s="15" t="n">
        <v>5</v>
      </c>
      <c r="C24" s="14" t="s">
        <v>150</v>
      </c>
      <c r="D24" s="14" t="s">
        <v>51</v>
      </c>
      <c r="E24" s="14" t="s">
        <v>151</v>
      </c>
    </row>
    <row r="25" customFormat="false" ht="15" hidden="false" customHeight="false" outlineLevel="0" collapsed="false">
      <c r="A25" s="11" t="s">
        <v>49</v>
      </c>
      <c r="B25" s="12" t="n">
        <v>6</v>
      </c>
      <c r="C25" s="11" t="s">
        <v>152</v>
      </c>
      <c r="D25" s="11" t="s">
        <v>70</v>
      </c>
      <c r="E25" s="11" t="s">
        <v>153</v>
      </c>
    </row>
    <row r="26" customFormat="false" ht="23.85" hidden="false" customHeight="false" outlineLevel="0" collapsed="false">
      <c r="A26" s="14" t="s">
        <v>49</v>
      </c>
      <c r="B26" s="15" t="n">
        <v>7</v>
      </c>
      <c r="C26" s="14" t="s">
        <v>154</v>
      </c>
      <c r="D26" s="14" t="s">
        <v>51</v>
      </c>
      <c r="E26" s="14" t="s">
        <v>155</v>
      </c>
    </row>
    <row r="27" customFormat="false" ht="15" hidden="false" customHeight="false" outlineLevel="0" collapsed="false">
      <c r="A27" s="11" t="s">
        <v>49</v>
      </c>
      <c r="B27" s="12" t="n">
        <v>8</v>
      </c>
      <c r="C27" s="11" t="s">
        <v>156</v>
      </c>
      <c r="D27" s="11" t="s">
        <v>51</v>
      </c>
      <c r="E27" s="11" t="s">
        <v>157</v>
      </c>
    </row>
    <row r="28" customFormat="false" ht="15" hidden="false" customHeight="false" outlineLevel="0" collapsed="false">
      <c r="A28" s="14" t="s">
        <v>49</v>
      </c>
      <c r="B28" s="15" t="n">
        <v>9</v>
      </c>
      <c r="C28" s="14" t="s">
        <v>158</v>
      </c>
      <c r="D28" s="14" t="s">
        <v>51</v>
      </c>
      <c r="E28" s="14" t="s">
        <v>159</v>
      </c>
    </row>
    <row r="29" customFormat="false" ht="15" hidden="false" customHeight="false" outlineLevel="0" collapsed="false">
      <c r="A29" s="11" t="s">
        <v>49</v>
      </c>
      <c r="B29" s="12" t="n">
        <v>10</v>
      </c>
      <c r="C29" s="11" t="s">
        <v>160</v>
      </c>
      <c r="D29" s="11" t="s">
        <v>51</v>
      </c>
      <c r="E29" s="11" t="s">
        <v>161</v>
      </c>
    </row>
    <row r="30" customFormat="false" ht="15" hidden="false" customHeight="false" outlineLevel="0" collapsed="false">
      <c r="A30" s="14" t="s">
        <v>49</v>
      </c>
      <c r="B30" s="15" t="n">
        <v>11</v>
      </c>
      <c r="C30" s="14" t="s">
        <v>162</v>
      </c>
      <c r="D30" s="14" t="s">
        <v>51</v>
      </c>
      <c r="E30" s="14" t="s">
        <v>163</v>
      </c>
    </row>
    <row r="31" customFormat="false" ht="15" hidden="false" customHeight="false" outlineLevel="0" collapsed="false">
      <c r="A31" s="11" t="s">
        <v>53</v>
      </c>
      <c r="B31" s="12" t="n">
        <v>1</v>
      </c>
      <c r="C31" s="11" t="s">
        <v>164</v>
      </c>
      <c r="D31" s="11" t="s">
        <v>51</v>
      </c>
      <c r="E31" s="11" t="s">
        <v>165</v>
      </c>
    </row>
    <row r="32" customFormat="false" ht="15" hidden="false" customHeight="false" outlineLevel="0" collapsed="false">
      <c r="A32" s="14" t="s">
        <v>53</v>
      </c>
      <c r="B32" s="15" t="n">
        <v>2</v>
      </c>
      <c r="C32" s="14" t="s">
        <v>166</v>
      </c>
      <c r="D32" s="14" t="s">
        <v>70</v>
      </c>
      <c r="E32" s="14" t="s">
        <v>167</v>
      </c>
    </row>
    <row r="33" customFormat="false" ht="15" hidden="false" customHeight="false" outlineLevel="0" collapsed="false">
      <c r="A33" s="11" t="s">
        <v>53</v>
      </c>
      <c r="B33" s="12" t="n">
        <v>3</v>
      </c>
      <c r="C33" s="11" t="s">
        <v>168</v>
      </c>
      <c r="D33" s="11" t="s">
        <v>70</v>
      </c>
      <c r="E33" s="11" t="s">
        <v>169</v>
      </c>
    </row>
    <row r="34" customFormat="false" ht="15" hidden="false" customHeight="false" outlineLevel="0" collapsed="false">
      <c r="A34" s="14" t="s">
        <v>53</v>
      </c>
      <c r="B34" s="15" t="n">
        <v>4</v>
      </c>
      <c r="C34" s="14" t="s">
        <v>170</v>
      </c>
      <c r="D34" s="14" t="s">
        <v>40</v>
      </c>
      <c r="E34" s="14" t="s">
        <v>171</v>
      </c>
    </row>
    <row r="35" customFormat="false" ht="15" hidden="false" customHeight="false" outlineLevel="0" collapsed="false">
      <c r="A35" s="11" t="s">
        <v>53</v>
      </c>
      <c r="B35" s="12" t="n">
        <v>5</v>
      </c>
      <c r="C35" s="11" t="s">
        <v>172</v>
      </c>
      <c r="D35" s="11" t="s">
        <v>40</v>
      </c>
      <c r="E35" s="11" t="s">
        <v>173</v>
      </c>
    </row>
    <row r="36" customFormat="false" ht="15" hidden="false" customHeight="false" outlineLevel="0" collapsed="false">
      <c r="A36" s="14" t="s">
        <v>53</v>
      </c>
      <c r="B36" s="15" t="n">
        <v>6</v>
      </c>
      <c r="C36" s="14" t="s">
        <v>174</v>
      </c>
      <c r="D36" s="14" t="s">
        <v>51</v>
      </c>
      <c r="E36" s="14" t="s">
        <v>175</v>
      </c>
    </row>
    <row r="37" customFormat="false" ht="15" hidden="false" customHeight="false" outlineLevel="0" collapsed="false">
      <c r="A37" s="11" t="s">
        <v>53</v>
      </c>
      <c r="B37" s="12" t="n">
        <v>7</v>
      </c>
      <c r="C37" s="11" t="s">
        <v>176</v>
      </c>
      <c r="D37" s="11" t="s">
        <v>51</v>
      </c>
      <c r="E37" s="11" t="s">
        <v>177</v>
      </c>
    </row>
    <row r="38" customFormat="false" ht="15" hidden="false" customHeight="false" outlineLevel="0" collapsed="false">
      <c r="A38" s="14" t="s">
        <v>56</v>
      </c>
      <c r="B38" s="15" t="n">
        <v>1</v>
      </c>
      <c r="C38" s="14" t="s">
        <v>178</v>
      </c>
      <c r="D38" s="14" t="s">
        <v>70</v>
      </c>
      <c r="E38" s="14" t="s">
        <v>179</v>
      </c>
    </row>
    <row r="39" customFormat="false" ht="15" hidden="false" customHeight="false" outlineLevel="0" collapsed="false">
      <c r="A39" s="11" t="s">
        <v>56</v>
      </c>
      <c r="B39" s="12" t="n">
        <v>2</v>
      </c>
      <c r="C39" s="11" t="s">
        <v>180</v>
      </c>
      <c r="D39" s="11" t="s">
        <v>51</v>
      </c>
      <c r="E39" s="11" t="s">
        <v>181</v>
      </c>
    </row>
    <row r="40" customFormat="false" ht="15" hidden="false" customHeight="false" outlineLevel="0" collapsed="false">
      <c r="A40" s="14" t="s">
        <v>56</v>
      </c>
      <c r="B40" s="15" t="n">
        <v>3</v>
      </c>
      <c r="C40" s="14" t="s">
        <v>182</v>
      </c>
      <c r="D40" s="14" t="s">
        <v>51</v>
      </c>
      <c r="E40" s="14" t="s">
        <v>183</v>
      </c>
    </row>
    <row r="41" customFormat="false" ht="15" hidden="false" customHeight="false" outlineLevel="0" collapsed="false">
      <c r="A41" s="11" t="s">
        <v>56</v>
      </c>
      <c r="B41" s="12" t="n">
        <v>4</v>
      </c>
      <c r="C41" s="11" t="s">
        <v>184</v>
      </c>
      <c r="D41" s="11" t="s">
        <v>70</v>
      </c>
      <c r="E41" s="11" t="s">
        <v>185</v>
      </c>
    </row>
    <row r="42" customFormat="false" ht="15" hidden="false" customHeight="false" outlineLevel="0" collapsed="false">
      <c r="A42" s="14" t="s">
        <v>56</v>
      </c>
      <c r="B42" s="15" t="n">
        <v>5</v>
      </c>
      <c r="C42" s="14" t="s">
        <v>186</v>
      </c>
      <c r="D42" s="14" t="s">
        <v>51</v>
      </c>
      <c r="E42" s="14" t="s">
        <v>187</v>
      </c>
    </row>
    <row r="43" customFormat="false" ht="15" hidden="false" customHeight="false" outlineLevel="0" collapsed="false">
      <c r="A43" s="11" t="s">
        <v>56</v>
      </c>
      <c r="B43" s="12" t="n">
        <v>6</v>
      </c>
      <c r="C43" s="11" t="s">
        <v>188</v>
      </c>
      <c r="D43" s="11" t="s">
        <v>40</v>
      </c>
      <c r="E43" s="11" t="s">
        <v>189</v>
      </c>
    </row>
    <row r="44" customFormat="false" ht="15" hidden="false" customHeight="false" outlineLevel="0" collapsed="false">
      <c r="A44" s="14" t="s">
        <v>56</v>
      </c>
      <c r="B44" s="15" t="n">
        <v>7</v>
      </c>
      <c r="C44" s="14" t="s">
        <v>190</v>
      </c>
      <c r="D44" s="14" t="s">
        <v>70</v>
      </c>
      <c r="E44" s="14" t="s">
        <v>191</v>
      </c>
    </row>
    <row r="45" customFormat="false" ht="15" hidden="false" customHeight="false" outlineLevel="0" collapsed="false">
      <c r="A45" s="11" t="s">
        <v>58</v>
      </c>
      <c r="B45" s="12" t="n">
        <v>1</v>
      </c>
      <c r="C45" s="11" t="s">
        <v>192</v>
      </c>
      <c r="D45" s="11" t="s">
        <v>51</v>
      </c>
      <c r="E45" s="11" t="s">
        <v>193</v>
      </c>
    </row>
    <row r="46" customFormat="false" ht="15" hidden="false" customHeight="false" outlineLevel="0" collapsed="false">
      <c r="A46" s="14" t="s">
        <v>58</v>
      </c>
      <c r="B46" s="15" t="n">
        <v>2</v>
      </c>
      <c r="C46" s="14" t="s">
        <v>194</v>
      </c>
      <c r="D46" s="14" t="s">
        <v>70</v>
      </c>
      <c r="E46" s="14" t="s">
        <v>195</v>
      </c>
    </row>
    <row r="47" customFormat="false" ht="15" hidden="false" customHeight="false" outlineLevel="0" collapsed="false">
      <c r="A47" s="11" t="s">
        <v>58</v>
      </c>
      <c r="B47" s="12" t="n">
        <v>3</v>
      </c>
      <c r="C47" s="11" t="s">
        <v>196</v>
      </c>
      <c r="D47" s="11" t="s">
        <v>51</v>
      </c>
      <c r="E47" s="11" t="s">
        <v>197</v>
      </c>
    </row>
    <row r="48" customFormat="false" ht="15" hidden="false" customHeight="false" outlineLevel="0" collapsed="false">
      <c r="A48" s="14" t="s">
        <v>58</v>
      </c>
      <c r="B48" s="15" t="n">
        <v>4</v>
      </c>
      <c r="C48" s="14" t="s">
        <v>198</v>
      </c>
      <c r="D48" s="14" t="s">
        <v>70</v>
      </c>
      <c r="E48" s="14" t="s">
        <v>199</v>
      </c>
    </row>
    <row r="49" customFormat="false" ht="15" hidden="false" customHeight="false" outlineLevel="0" collapsed="false">
      <c r="A49" s="11" t="s">
        <v>58</v>
      </c>
      <c r="B49" s="12" t="n">
        <v>5</v>
      </c>
      <c r="C49" s="11" t="s">
        <v>200</v>
      </c>
      <c r="D49" s="11" t="s">
        <v>70</v>
      </c>
      <c r="E49" s="11" t="s">
        <v>201</v>
      </c>
    </row>
    <row r="50" customFormat="false" ht="15" hidden="false" customHeight="false" outlineLevel="0" collapsed="false">
      <c r="A50" s="14" t="s">
        <v>58</v>
      </c>
      <c r="B50" s="15" t="n">
        <v>6</v>
      </c>
      <c r="C50" s="14" t="s">
        <v>202</v>
      </c>
      <c r="D50" s="14" t="s">
        <v>51</v>
      </c>
      <c r="E50" s="14" t="s">
        <v>203</v>
      </c>
    </row>
    <row r="51" customFormat="false" ht="15" hidden="false" customHeight="false" outlineLevel="0" collapsed="false">
      <c r="A51" s="11" t="s">
        <v>58</v>
      </c>
      <c r="B51" s="12" t="n">
        <v>7</v>
      </c>
      <c r="C51" s="11" t="s">
        <v>204</v>
      </c>
      <c r="D51" s="11" t="s">
        <v>70</v>
      </c>
      <c r="E51" s="11" t="s">
        <v>205</v>
      </c>
    </row>
    <row r="52" customFormat="false" ht="15" hidden="false" customHeight="false" outlineLevel="0" collapsed="false">
      <c r="A52" s="14" t="s">
        <v>61</v>
      </c>
      <c r="B52" s="15" t="n">
        <v>1</v>
      </c>
      <c r="C52" s="14" t="s">
        <v>206</v>
      </c>
      <c r="D52" s="14" t="s">
        <v>51</v>
      </c>
      <c r="E52" s="14" t="s">
        <v>207</v>
      </c>
    </row>
    <row r="53" customFormat="false" ht="15" hidden="false" customHeight="false" outlineLevel="0" collapsed="false">
      <c r="A53" s="11" t="s">
        <v>61</v>
      </c>
      <c r="B53" s="12" t="n">
        <v>2</v>
      </c>
      <c r="C53" s="11" t="s">
        <v>208</v>
      </c>
      <c r="D53" s="11" t="s">
        <v>40</v>
      </c>
      <c r="E53" s="11" t="s">
        <v>209</v>
      </c>
    </row>
    <row r="54" customFormat="false" ht="15" hidden="false" customHeight="false" outlineLevel="0" collapsed="false">
      <c r="A54" s="14" t="s">
        <v>61</v>
      </c>
      <c r="B54" s="15" t="n">
        <v>3</v>
      </c>
      <c r="C54" s="14" t="s">
        <v>210</v>
      </c>
      <c r="D54" s="14" t="s">
        <v>51</v>
      </c>
      <c r="E54" s="14" t="s">
        <v>211</v>
      </c>
    </row>
    <row r="55" customFormat="false" ht="15" hidden="false" customHeight="false" outlineLevel="0" collapsed="false">
      <c r="A55" s="11" t="s">
        <v>61</v>
      </c>
      <c r="B55" s="12" t="n">
        <v>4</v>
      </c>
      <c r="C55" s="11" t="s">
        <v>212</v>
      </c>
      <c r="D55" s="11" t="s">
        <v>70</v>
      </c>
      <c r="E55" s="11" t="s">
        <v>213</v>
      </c>
    </row>
    <row r="56" customFormat="false" ht="15" hidden="false" customHeight="false" outlineLevel="0" collapsed="false">
      <c r="A56" s="14" t="s">
        <v>61</v>
      </c>
      <c r="B56" s="15" t="n">
        <v>5</v>
      </c>
      <c r="C56" s="14" t="s">
        <v>214</v>
      </c>
      <c r="D56" s="14" t="s">
        <v>70</v>
      </c>
      <c r="E56" s="14" t="s">
        <v>215</v>
      </c>
    </row>
    <row r="57" customFormat="false" ht="15" hidden="false" customHeight="false" outlineLevel="0" collapsed="false">
      <c r="A57" s="11" t="s">
        <v>61</v>
      </c>
      <c r="B57" s="12" t="n">
        <v>6</v>
      </c>
      <c r="C57" s="11" t="s">
        <v>216</v>
      </c>
      <c r="D57" s="11" t="s">
        <v>51</v>
      </c>
      <c r="E57" s="11" t="s">
        <v>217</v>
      </c>
    </row>
    <row r="58" customFormat="false" ht="15" hidden="false" customHeight="false" outlineLevel="0" collapsed="false">
      <c r="A58" s="14" t="s">
        <v>64</v>
      </c>
      <c r="B58" s="15" t="n">
        <v>1</v>
      </c>
      <c r="C58" s="14" t="s">
        <v>218</v>
      </c>
      <c r="D58" s="14" t="s">
        <v>70</v>
      </c>
      <c r="E58" s="14" t="s">
        <v>219</v>
      </c>
    </row>
    <row r="59" customFormat="false" ht="15" hidden="false" customHeight="false" outlineLevel="0" collapsed="false">
      <c r="A59" s="11" t="s">
        <v>64</v>
      </c>
      <c r="B59" s="12" t="n">
        <v>2</v>
      </c>
      <c r="C59" s="11" t="s">
        <v>220</v>
      </c>
      <c r="D59" s="11" t="s">
        <v>51</v>
      </c>
      <c r="E59" s="11" t="s">
        <v>221</v>
      </c>
    </row>
    <row r="60" customFormat="false" ht="15" hidden="false" customHeight="false" outlineLevel="0" collapsed="false">
      <c r="A60" s="14" t="s">
        <v>64</v>
      </c>
      <c r="B60" s="15" t="n">
        <v>3</v>
      </c>
      <c r="C60" s="14" t="s">
        <v>222</v>
      </c>
      <c r="D60" s="14" t="s">
        <v>70</v>
      </c>
      <c r="E60" s="14" t="s">
        <v>223</v>
      </c>
    </row>
    <row r="61" customFormat="false" ht="15" hidden="false" customHeight="false" outlineLevel="0" collapsed="false">
      <c r="A61" s="11" t="s">
        <v>64</v>
      </c>
      <c r="B61" s="12" t="n">
        <v>4</v>
      </c>
      <c r="C61" s="11" t="s">
        <v>224</v>
      </c>
      <c r="D61" s="11" t="s">
        <v>51</v>
      </c>
      <c r="E61" s="11" t="s">
        <v>225</v>
      </c>
    </row>
    <row r="62" customFormat="false" ht="15" hidden="false" customHeight="false" outlineLevel="0" collapsed="false">
      <c r="A62" s="14" t="s">
        <v>66</v>
      </c>
      <c r="B62" s="15" t="n">
        <v>1</v>
      </c>
      <c r="C62" s="14" t="s">
        <v>226</v>
      </c>
      <c r="D62" s="14" t="s">
        <v>70</v>
      </c>
      <c r="E62" s="14" t="s">
        <v>227</v>
      </c>
    </row>
    <row r="63" customFormat="false" ht="15" hidden="false" customHeight="false" outlineLevel="0" collapsed="false">
      <c r="A63" s="11" t="s">
        <v>66</v>
      </c>
      <c r="B63" s="12" t="n">
        <v>2</v>
      </c>
      <c r="C63" s="11" t="s">
        <v>228</v>
      </c>
      <c r="D63" s="11" t="s">
        <v>51</v>
      </c>
      <c r="E63" s="11" t="s">
        <v>229</v>
      </c>
    </row>
    <row r="64" customFormat="false" ht="15" hidden="false" customHeight="false" outlineLevel="0" collapsed="false">
      <c r="A64" s="14" t="s">
        <v>66</v>
      </c>
      <c r="B64" s="15" t="n">
        <v>3</v>
      </c>
      <c r="C64" s="14" t="s">
        <v>230</v>
      </c>
      <c r="D64" s="14" t="s">
        <v>51</v>
      </c>
      <c r="E64" s="14" t="s">
        <v>231</v>
      </c>
    </row>
    <row r="65" customFormat="false" ht="15" hidden="false" customHeight="false" outlineLevel="0" collapsed="false">
      <c r="A65" s="11" t="s">
        <v>66</v>
      </c>
      <c r="B65" s="12" t="n">
        <v>4</v>
      </c>
      <c r="C65" s="11" t="s">
        <v>232</v>
      </c>
      <c r="D65" s="11" t="s">
        <v>70</v>
      </c>
      <c r="E65" s="11" t="s">
        <v>233</v>
      </c>
    </row>
    <row r="66" customFormat="false" ht="23.85" hidden="false" customHeight="false" outlineLevel="0" collapsed="false">
      <c r="A66" s="14" t="s">
        <v>66</v>
      </c>
      <c r="B66" s="15" t="n">
        <v>5</v>
      </c>
      <c r="C66" s="14" t="s">
        <v>234</v>
      </c>
      <c r="D66" s="14" t="s">
        <v>70</v>
      </c>
      <c r="E66" s="14" t="s">
        <v>235</v>
      </c>
    </row>
    <row r="67" customFormat="false" ht="15" hidden="false" customHeight="false" outlineLevel="0" collapsed="false">
      <c r="A67" s="11" t="s">
        <v>66</v>
      </c>
      <c r="B67" s="12" t="n">
        <v>6</v>
      </c>
      <c r="C67" s="11" t="s">
        <v>236</v>
      </c>
      <c r="D67" s="11" t="s">
        <v>51</v>
      </c>
      <c r="E67" s="11" t="s">
        <v>237</v>
      </c>
    </row>
    <row r="68" customFormat="false" ht="15" hidden="false" customHeight="false" outlineLevel="0" collapsed="false">
      <c r="A68" s="14" t="s">
        <v>68</v>
      </c>
      <c r="B68" s="15" t="n">
        <v>1</v>
      </c>
      <c r="C68" s="14" t="s">
        <v>238</v>
      </c>
      <c r="D68" s="14" t="s">
        <v>70</v>
      </c>
      <c r="E68" s="14" t="s">
        <v>239</v>
      </c>
    </row>
    <row r="69" customFormat="false" ht="15" hidden="false" customHeight="false" outlineLevel="0" collapsed="false">
      <c r="A69" s="11" t="s">
        <v>68</v>
      </c>
      <c r="B69" s="12" t="n">
        <v>2</v>
      </c>
      <c r="C69" s="11" t="s">
        <v>240</v>
      </c>
      <c r="D69" s="11" t="s">
        <v>70</v>
      </c>
      <c r="E69" s="11" t="s">
        <v>241</v>
      </c>
    </row>
    <row r="70" customFormat="false" ht="15" hidden="false" customHeight="false" outlineLevel="0" collapsed="false">
      <c r="A70" s="14" t="s">
        <v>68</v>
      </c>
      <c r="B70" s="15" t="n">
        <v>3</v>
      </c>
      <c r="C70" s="14" t="s">
        <v>242</v>
      </c>
      <c r="D70" s="14" t="s">
        <v>51</v>
      </c>
      <c r="E70" s="14" t="s">
        <v>243</v>
      </c>
    </row>
    <row r="71" customFormat="false" ht="15" hidden="false" customHeight="false" outlineLevel="0" collapsed="false">
      <c r="A71" s="11" t="s">
        <v>68</v>
      </c>
      <c r="B71" s="12" t="n">
        <v>4</v>
      </c>
      <c r="C71" s="11" t="s">
        <v>244</v>
      </c>
      <c r="D71" s="11" t="s">
        <v>70</v>
      </c>
      <c r="E71" s="11" t="s">
        <v>245</v>
      </c>
    </row>
    <row r="72" customFormat="false" ht="15" hidden="false" customHeight="false" outlineLevel="0" collapsed="false">
      <c r="A72" s="14" t="s">
        <v>72</v>
      </c>
      <c r="B72" s="15" t="n">
        <v>1</v>
      </c>
      <c r="C72" s="14" t="s">
        <v>246</v>
      </c>
      <c r="D72" s="14" t="s">
        <v>70</v>
      </c>
      <c r="E72" s="14" t="s">
        <v>247</v>
      </c>
    </row>
    <row r="73" customFormat="false" ht="15" hidden="false" customHeight="false" outlineLevel="0" collapsed="false">
      <c r="A73" s="11" t="s">
        <v>72</v>
      </c>
      <c r="B73" s="12" t="n">
        <v>2</v>
      </c>
      <c r="C73" s="11" t="s">
        <v>248</v>
      </c>
      <c r="D73" s="11" t="s">
        <v>51</v>
      </c>
      <c r="E73" s="11" t="s">
        <v>249</v>
      </c>
    </row>
    <row r="74" customFormat="false" ht="15" hidden="false" customHeight="false" outlineLevel="0" collapsed="false">
      <c r="A74" s="14" t="s">
        <v>72</v>
      </c>
      <c r="B74" s="15" t="n">
        <v>3</v>
      </c>
      <c r="C74" s="14" t="s">
        <v>250</v>
      </c>
      <c r="D74" s="14" t="s">
        <v>51</v>
      </c>
      <c r="E74" s="14" t="s">
        <v>251</v>
      </c>
    </row>
    <row r="75" customFormat="false" ht="15" hidden="false" customHeight="false" outlineLevel="0" collapsed="false">
      <c r="A75" s="11" t="s">
        <v>72</v>
      </c>
      <c r="B75" s="12" t="n">
        <v>4</v>
      </c>
      <c r="C75" s="11" t="s">
        <v>252</v>
      </c>
      <c r="D75" s="11" t="s">
        <v>51</v>
      </c>
      <c r="E75" s="11" t="s">
        <v>253</v>
      </c>
    </row>
    <row r="76" customFormat="false" ht="15" hidden="false" customHeight="false" outlineLevel="0" collapsed="false">
      <c r="A76" s="14" t="s">
        <v>72</v>
      </c>
      <c r="B76" s="15" t="n">
        <v>5</v>
      </c>
      <c r="C76" s="14" t="s">
        <v>254</v>
      </c>
      <c r="D76" s="14" t="s">
        <v>70</v>
      </c>
      <c r="E76" s="14" t="s">
        <v>255</v>
      </c>
    </row>
    <row r="77" customFormat="false" ht="15" hidden="false" customHeight="false" outlineLevel="0" collapsed="false">
      <c r="A77" s="11" t="s">
        <v>72</v>
      </c>
      <c r="B77" s="12" t="n">
        <v>6</v>
      </c>
      <c r="C77" s="11" t="s">
        <v>256</v>
      </c>
      <c r="D77" s="11" t="s">
        <v>70</v>
      </c>
      <c r="E77" s="11" t="s">
        <v>257</v>
      </c>
    </row>
    <row r="78" customFormat="false" ht="15" hidden="false" customHeight="false" outlineLevel="0" collapsed="false">
      <c r="A78" s="14" t="s">
        <v>74</v>
      </c>
      <c r="B78" s="15" t="n">
        <v>1</v>
      </c>
      <c r="C78" s="14" t="s">
        <v>258</v>
      </c>
      <c r="D78" s="14" t="s">
        <v>51</v>
      </c>
      <c r="E78" s="14" t="s">
        <v>259</v>
      </c>
    </row>
    <row r="79" customFormat="false" ht="15" hidden="false" customHeight="false" outlineLevel="0" collapsed="false">
      <c r="A79" s="11" t="s">
        <v>74</v>
      </c>
      <c r="B79" s="12" t="n">
        <v>2</v>
      </c>
      <c r="C79" s="11" t="s">
        <v>260</v>
      </c>
      <c r="D79" s="11" t="s">
        <v>51</v>
      </c>
      <c r="E79" s="11" t="s">
        <v>261</v>
      </c>
    </row>
    <row r="80" customFormat="false" ht="15" hidden="false" customHeight="false" outlineLevel="0" collapsed="false">
      <c r="A80" s="14" t="s">
        <v>74</v>
      </c>
      <c r="B80" s="15" t="n">
        <v>3</v>
      </c>
      <c r="C80" s="14" t="s">
        <v>262</v>
      </c>
      <c r="D80" s="14" t="s">
        <v>51</v>
      </c>
      <c r="E80" s="14" t="s">
        <v>263</v>
      </c>
    </row>
    <row r="81" customFormat="false" ht="15" hidden="false" customHeight="false" outlineLevel="0" collapsed="false">
      <c r="A81" s="11" t="s">
        <v>74</v>
      </c>
      <c r="B81" s="12" t="n">
        <v>4</v>
      </c>
      <c r="C81" s="11" t="s">
        <v>264</v>
      </c>
      <c r="D81" s="11" t="s">
        <v>70</v>
      </c>
      <c r="E81" s="11" t="s">
        <v>265</v>
      </c>
    </row>
    <row r="82" customFormat="false" ht="15" hidden="false" customHeight="false" outlineLevel="0" collapsed="false">
      <c r="A82" s="14" t="s">
        <v>74</v>
      </c>
      <c r="B82" s="15" t="n">
        <v>5</v>
      </c>
      <c r="C82" s="14" t="s">
        <v>266</v>
      </c>
      <c r="D82" s="14" t="s">
        <v>70</v>
      </c>
      <c r="E82" s="14" t="s">
        <v>267</v>
      </c>
    </row>
    <row r="83" customFormat="false" ht="15" hidden="false" customHeight="false" outlineLevel="0" collapsed="false">
      <c r="A83" s="11" t="s">
        <v>77</v>
      </c>
      <c r="B83" s="12" t="n">
        <v>1</v>
      </c>
      <c r="C83" s="11" t="s">
        <v>268</v>
      </c>
      <c r="D83" s="11" t="s">
        <v>51</v>
      </c>
      <c r="E83" s="11" t="s">
        <v>269</v>
      </c>
    </row>
    <row r="84" customFormat="false" ht="15" hidden="false" customHeight="false" outlineLevel="0" collapsed="false">
      <c r="A84" s="14" t="s">
        <v>77</v>
      </c>
      <c r="B84" s="15" t="n">
        <v>2</v>
      </c>
      <c r="C84" s="14" t="s">
        <v>270</v>
      </c>
      <c r="D84" s="14" t="s">
        <v>51</v>
      </c>
      <c r="E84" s="14" t="s">
        <v>271</v>
      </c>
    </row>
    <row r="85" customFormat="false" ht="15" hidden="false" customHeight="false" outlineLevel="0" collapsed="false">
      <c r="A85" s="11" t="s">
        <v>77</v>
      </c>
      <c r="B85" s="12" t="n">
        <v>3</v>
      </c>
      <c r="C85" s="11" t="s">
        <v>272</v>
      </c>
      <c r="D85" s="11" t="s">
        <v>51</v>
      </c>
      <c r="E85" s="11" t="s">
        <v>273</v>
      </c>
    </row>
    <row r="86" customFormat="false" ht="15" hidden="false" customHeight="false" outlineLevel="0" collapsed="false">
      <c r="A86" s="14" t="s">
        <v>77</v>
      </c>
      <c r="B86" s="15" t="n">
        <v>4</v>
      </c>
      <c r="C86" s="14" t="s">
        <v>274</v>
      </c>
      <c r="D86" s="14" t="s">
        <v>51</v>
      </c>
      <c r="E86" s="14" t="s">
        <v>275</v>
      </c>
    </row>
    <row r="87" customFormat="false" ht="15" hidden="false" customHeight="false" outlineLevel="0" collapsed="false">
      <c r="A87" s="11" t="s">
        <v>77</v>
      </c>
      <c r="B87" s="12" t="n">
        <v>5</v>
      </c>
      <c r="C87" s="11" t="s">
        <v>276</v>
      </c>
      <c r="D87" s="11" t="s">
        <v>51</v>
      </c>
      <c r="E87" s="11" t="s">
        <v>277</v>
      </c>
    </row>
    <row r="88" customFormat="false" ht="15" hidden="false" customHeight="false" outlineLevel="0" collapsed="false">
      <c r="A88" s="14" t="s">
        <v>77</v>
      </c>
      <c r="B88" s="15" t="n">
        <v>6</v>
      </c>
      <c r="C88" s="14" t="s">
        <v>278</v>
      </c>
      <c r="D88" s="14" t="s">
        <v>51</v>
      </c>
      <c r="E88" s="14" t="s">
        <v>279</v>
      </c>
    </row>
    <row r="89" customFormat="false" ht="15" hidden="false" customHeight="false" outlineLevel="0" collapsed="false">
      <c r="A89" s="11" t="s">
        <v>77</v>
      </c>
      <c r="B89" s="12" t="n">
        <v>7</v>
      </c>
      <c r="C89" s="11" t="s">
        <v>280</v>
      </c>
      <c r="D89" s="11" t="s">
        <v>51</v>
      </c>
      <c r="E89" s="11" t="s">
        <v>281</v>
      </c>
    </row>
    <row r="90" customFormat="false" ht="15" hidden="false" customHeight="false" outlineLevel="0" collapsed="false">
      <c r="A90" s="14" t="s">
        <v>77</v>
      </c>
      <c r="B90" s="15" t="n">
        <v>8</v>
      </c>
      <c r="C90" s="14" t="s">
        <v>282</v>
      </c>
      <c r="D90" s="14" t="s">
        <v>51</v>
      </c>
      <c r="E90" s="14" t="s">
        <v>283</v>
      </c>
    </row>
    <row r="91" customFormat="false" ht="15" hidden="false" customHeight="false" outlineLevel="0" collapsed="false">
      <c r="A91" s="11" t="s">
        <v>77</v>
      </c>
      <c r="B91" s="12" t="n">
        <v>9</v>
      </c>
      <c r="C91" s="11" t="s">
        <v>284</v>
      </c>
      <c r="D91" s="11" t="s">
        <v>51</v>
      </c>
      <c r="E91" s="11" t="s">
        <v>285</v>
      </c>
    </row>
    <row r="92" customFormat="false" ht="15" hidden="false" customHeight="false" outlineLevel="0" collapsed="false">
      <c r="A92" s="14" t="s">
        <v>77</v>
      </c>
      <c r="B92" s="15" t="n">
        <v>10</v>
      </c>
      <c r="C92" s="14" t="s">
        <v>286</v>
      </c>
      <c r="D92" s="14" t="s">
        <v>51</v>
      </c>
      <c r="E92" s="14" t="s">
        <v>287</v>
      </c>
    </row>
    <row r="93" customFormat="false" ht="15" hidden="false" customHeight="false" outlineLevel="0" collapsed="false">
      <c r="A93" s="11" t="s">
        <v>77</v>
      </c>
      <c r="B93" s="12" t="n">
        <v>11</v>
      </c>
      <c r="C93" s="11" t="s">
        <v>288</v>
      </c>
      <c r="D93" s="11" t="s">
        <v>51</v>
      </c>
      <c r="E93" s="11" t="s">
        <v>289</v>
      </c>
    </row>
    <row r="94" customFormat="false" ht="15" hidden="false" customHeight="false" outlineLevel="0" collapsed="false">
      <c r="A94" s="14" t="s">
        <v>77</v>
      </c>
      <c r="B94" s="15" t="n">
        <v>12</v>
      </c>
      <c r="C94" s="14" t="s">
        <v>290</v>
      </c>
      <c r="D94" s="14" t="s">
        <v>70</v>
      </c>
      <c r="E94" s="14" t="s">
        <v>291</v>
      </c>
    </row>
    <row r="95" customFormat="false" ht="15" hidden="false" customHeight="false" outlineLevel="0" collapsed="false">
      <c r="A95" s="11" t="s">
        <v>77</v>
      </c>
      <c r="B95" s="12" t="n">
        <v>13</v>
      </c>
      <c r="C95" s="11" t="s">
        <v>292</v>
      </c>
      <c r="D95" s="11" t="s">
        <v>51</v>
      </c>
      <c r="E95" s="11" t="s">
        <v>293</v>
      </c>
    </row>
    <row r="96" customFormat="false" ht="15" hidden="false" customHeight="false" outlineLevel="0" collapsed="false">
      <c r="A96" s="14" t="s">
        <v>79</v>
      </c>
      <c r="B96" s="15" t="n">
        <v>1</v>
      </c>
      <c r="C96" s="14" t="s">
        <v>294</v>
      </c>
      <c r="D96" s="14" t="s">
        <v>70</v>
      </c>
      <c r="E96" s="14" t="s">
        <v>295</v>
      </c>
    </row>
    <row r="97" customFormat="false" ht="15" hidden="false" customHeight="false" outlineLevel="0" collapsed="false">
      <c r="A97" s="11" t="s">
        <v>79</v>
      </c>
      <c r="B97" s="12" t="n">
        <v>2</v>
      </c>
      <c r="C97" s="11" t="s">
        <v>296</v>
      </c>
      <c r="D97" s="11" t="s">
        <v>70</v>
      </c>
      <c r="E97" s="11" t="s">
        <v>297</v>
      </c>
    </row>
    <row r="98" customFormat="false" ht="15" hidden="false" customHeight="false" outlineLevel="0" collapsed="false">
      <c r="A98" s="14" t="s">
        <v>79</v>
      </c>
      <c r="B98" s="15" t="n">
        <v>3</v>
      </c>
      <c r="C98" s="14" t="s">
        <v>298</v>
      </c>
      <c r="D98" s="14" t="s">
        <v>51</v>
      </c>
      <c r="E98" s="14" t="s">
        <v>299</v>
      </c>
    </row>
    <row r="99" customFormat="false" ht="15" hidden="false" customHeight="false" outlineLevel="0" collapsed="false">
      <c r="A99" s="11" t="s">
        <v>79</v>
      </c>
      <c r="B99" s="12" t="n">
        <v>4</v>
      </c>
      <c r="C99" s="11" t="s">
        <v>300</v>
      </c>
      <c r="D99" s="11" t="s">
        <v>51</v>
      </c>
      <c r="E99" s="11" t="s">
        <v>301</v>
      </c>
    </row>
    <row r="100" customFormat="false" ht="15" hidden="false" customHeight="false" outlineLevel="0" collapsed="false">
      <c r="A100" s="14" t="s">
        <v>79</v>
      </c>
      <c r="B100" s="15" t="n">
        <v>5</v>
      </c>
      <c r="C100" s="14" t="s">
        <v>302</v>
      </c>
      <c r="D100" s="14" t="s">
        <v>51</v>
      </c>
      <c r="E100" s="14" t="s">
        <v>303</v>
      </c>
    </row>
    <row r="101" customFormat="false" ht="15" hidden="false" customHeight="false" outlineLevel="0" collapsed="false">
      <c r="A101" s="11" t="s">
        <v>79</v>
      </c>
      <c r="B101" s="12" t="n">
        <v>6</v>
      </c>
      <c r="C101" s="11" t="s">
        <v>304</v>
      </c>
      <c r="D101" s="11" t="s">
        <v>70</v>
      </c>
      <c r="E101" s="11" t="s">
        <v>305</v>
      </c>
    </row>
    <row r="102" customFormat="false" ht="15" hidden="false" customHeight="false" outlineLevel="0" collapsed="false">
      <c r="A102" s="14" t="s">
        <v>81</v>
      </c>
      <c r="B102" s="15" t="n">
        <v>1</v>
      </c>
      <c r="C102" s="14" t="s">
        <v>306</v>
      </c>
      <c r="D102" s="14" t="s">
        <v>70</v>
      </c>
      <c r="E102" s="14" t="s">
        <v>307</v>
      </c>
    </row>
    <row r="103" customFormat="false" ht="15" hidden="false" customHeight="false" outlineLevel="0" collapsed="false">
      <c r="A103" s="11" t="s">
        <v>81</v>
      </c>
      <c r="B103" s="12" t="n">
        <v>2</v>
      </c>
      <c r="C103" s="11" t="s">
        <v>308</v>
      </c>
      <c r="D103" s="11" t="s">
        <v>51</v>
      </c>
      <c r="E103" s="11" t="s">
        <v>309</v>
      </c>
    </row>
    <row r="104" customFormat="false" ht="15" hidden="false" customHeight="false" outlineLevel="0" collapsed="false">
      <c r="A104" s="14" t="s">
        <v>81</v>
      </c>
      <c r="B104" s="15" t="n">
        <v>3</v>
      </c>
      <c r="C104" s="14" t="s">
        <v>310</v>
      </c>
      <c r="D104" s="14" t="s">
        <v>70</v>
      </c>
      <c r="E104" s="14" t="s">
        <v>311</v>
      </c>
    </row>
    <row r="105" customFormat="false" ht="15" hidden="false" customHeight="false" outlineLevel="0" collapsed="false">
      <c r="A105" s="11" t="s">
        <v>81</v>
      </c>
      <c r="B105" s="12" t="n">
        <v>4</v>
      </c>
      <c r="C105" s="11" t="s">
        <v>312</v>
      </c>
      <c r="D105" s="11" t="s">
        <v>51</v>
      </c>
      <c r="E105" s="11" t="s">
        <v>313</v>
      </c>
    </row>
    <row r="106" customFormat="false" ht="15" hidden="false" customHeight="false" outlineLevel="0" collapsed="false">
      <c r="A106" s="14" t="s">
        <v>81</v>
      </c>
      <c r="B106" s="15" t="n">
        <v>5</v>
      </c>
      <c r="C106" s="14" t="s">
        <v>314</v>
      </c>
      <c r="D106" s="14" t="s">
        <v>70</v>
      </c>
      <c r="E106" s="14" t="s">
        <v>315</v>
      </c>
    </row>
    <row r="107" customFormat="false" ht="15" hidden="false" customHeight="false" outlineLevel="0" collapsed="false">
      <c r="A107" s="11" t="s">
        <v>85</v>
      </c>
      <c r="B107" s="12" t="n">
        <v>1</v>
      </c>
      <c r="C107" s="11" t="s">
        <v>316</v>
      </c>
      <c r="D107" s="11" t="s">
        <v>40</v>
      </c>
      <c r="E107" s="11" t="s">
        <v>317</v>
      </c>
    </row>
    <row r="108" customFormat="false" ht="15" hidden="false" customHeight="false" outlineLevel="0" collapsed="false">
      <c r="A108" s="14" t="s">
        <v>85</v>
      </c>
      <c r="B108" s="15" t="n">
        <v>2</v>
      </c>
      <c r="C108" s="14" t="s">
        <v>318</v>
      </c>
      <c r="D108" s="14" t="s">
        <v>70</v>
      </c>
      <c r="E108" s="14" t="s">
        <v>319</v>
      </c>
    </row>
    <row r="109" customFormat="false" ht="15" hidden="false" customHeight="false" outlineLevel="0" collapsed="false">
      <c r="A109" s="11" t="s">
        <v>85</v>
      </c>
      <c r="B109" s="12" t="n">
        <v>3</v>
      </c>
      <c r="C109" s="11" t="s">
        <v>320</v>
      </c>
      <c r="D109" s="11" t="s">
        <v>70</v>
      </c>
      <c r="E109" s="11" t="s">
        <v>321</v>
      </c>
    </row>
    <row r="110" customFormat="false" ht="15" hidden="false" customHeight="false" outlineLevel="0" collapsed="false">
      <c r="A110" s="14" t="s">
        <v>85</v>
      </c>
      <c r="B110" s="15" t="n">
        <v>4</v>
      </c>
      <c r="C110" s="14" t="s">
        <v>322</v>
      </c>
      <c r="D110" s="14" t="s">
        <v>70</v>
      </c>
      <c r="E110" s="14" t="s">
        <v>323</v>
      </c>
    </row>
    <row r="111" customFormat="false" ht="15" hidden="false" customHeight="false" outlineLevel="0" collapsed="false">
      <c r="A111" s="11" t="s">
        <v>88</v>
      </c>
      <c r="B111" s="12" t="n">
        <v>1</v>
      </c>
      <c r="C111" s="11" t="s">
        <v>324</v>
      </c>
      <c r="D111" s="11" t="s">
        <v>51</v>
      </c>
      <c r="E111" s="11" t="s">
        <v>325</v>
      </c>
    </row>
    <row r="112" customFormat="false" ht="23.85" hidden="false" customHeight="false" outlineLevel="0" collapsed="false">
      <c r="A112" s="14" t="s">
        <v>88</v>
      </c>
      <c r="B112" s="15" t="n">
        <v>2</v>
      </c>
      <c r="C112" s="14" t="s">
        <v>326</v>
      </c>
      <c r="D112" s="14" t="s">
        <v>70</v>
      </c>
      <c r="E112" s="14" t="s">
        <v>327</v>
      </c>
    </row>
    <row r="113" customFormat="false" ht="15" hidden="false" customHeight="false" outlineLevel="0" collapsed="false">
      <c r="A113" s="11" t="s">
        <v>90</v>
      </c>
      <c r="B113" s="12" t="n">
        <v>1</v>
      </c>
      <c r="C113" s="11" t="s">
        <v>328</v>
      </c>
      <c r="D113" s="11" t="s">
        <v>51</v>
      </c>
      <c r="E113" s="11" t="s">
        <v>329</v>
      </c>
    </row>
    <row r="114" customFormat="false" ht="15" hidden="false" customHeight="false" outlineLevel="0" collapsed="false">
      <c r="A114" s="14" t="s">
        <v>90</v>
      </c>
      <c r="B114" s="15" t="n">
        <v>2</v>
      </c>
      <c r="C114" s="14" t="s">
        <v>330</v>
      </c>
      <c r="D114" s="14" t="s">
        <v>51</v>
      </c>
      <c r="E114" s="14" t="s">
        <v>331</v>
      </c>
    </row>
    <row r="115" customFormat="false" ht="15" hidden="false" customHeight="false" outlineLevel="0" collapsed="false">
      <c r="A115" s="11" t="s">
        <v>90</v>
      </c>
      <c r="B115" s="12" t="n">
        <v>3</v>
      </c>
      <c r="C115" s="11" t="s">
        <v>332</v>
      </c>
      <c r="D115" s="11" t="s">
        <v>70</v>
      </c>
      <c r="E115" s="11" t="s">
        <v>333</v>
      </c>
    </row>
    <row r="116" customFormat="false" ht="15" hidden="false" customHeight="false" outlineLevel="0" collapsed="false">
      <c r="A116" s="14" t="s">
        <v>90</v>
      </c>
      <c r="B116" s="15" t="n">
        <v>4</v>
      </c>
      <c r="C116" s="14" t="s">
        <v>334</v>
      </c>
      <c r="D116" s="14" t="s">
        <v>70</v>
      </c>
      <c r="E116" s="14" t="s">
        <v>335</v>
      </c>
    </row>
    <row r="117" customFormat="false" ht="15" hidden="false" customHeight="false" outlineLevel="0" collapsed="false">
      <c r="A117" s="11" t="s">
        <v>90</v>
      </c>
      <c r="B117" s="12" t="n">
        <v>5</v>
      </c>
      <c r="C117" s="11" t="s">
        <v>336</v>
      </c>
      <c r="D117" s="11" t="s">
        <v>51</v>
      </c>
      <c r="E117" s="11" t="s">
        <v>337</v>
      </c>
    </row>
    <row r="118" customFormat="false" ht="15" hidden="false" customHeight="false" outlineLevel="0" collapsed="false">
      <c r="A118" s="14" t="s">
        <v>90</v>
      </c>
      <c r="B118" s="15" t="n">
        <v>6</v>
      </c>
      <c r="C118" s="14" t="s">
        <v>338</v>
      </c>
      <c r="D118" s="14" t="s">
        <v>70</v>
      </c>
      <c r="E118" s="14" t="s">
        <v>339</v>
      </c>
    </row>
    <row r="119" customFormat="false" ht="15" hidden="false" customHeight="false" outlineLevel="0" collapsed="false">
      <c r="A119" s="11" t="s">
        <v>90</v>
      </c>
      <c r="B119" s="12" t="n">
        <v>7</v>
      </c>
      <c r="C119" s="11" t="s">
        <v>340</v>
      </c>
      <c r="D119" s="11" t="s">
        <v>70</v>
      </c>
      <c r="E119" s="11" t="s">
        <v>341</v>
      </c>
    </row>
    <row r="120" customFormat="false" ht="15" hidden="false" customHeight="false" outlineLevel="0" collapsed="false">
      <c r="A120" s="14" t="s">
        <v>90</v>
      </c>
      <c r="B120" s="15" t="n">
        <v>8</v>
      </c>
      <c r="C120" s="14" t="s">
        <v>342</v>
      </c>
      <c r="D120" s="14" t="s">
        <v>51</v>
      </c>
      <c r="E120" s="14" t="s">
        <v>343</v>
      </c>
    </row>
    <row r="121" customFormat="false" ht="15" hidden="false" customHeight="false" outlineLevel="0" collapsed="false">
      <c r="A121" s="11" t="s">
        <v>90</v>
      </c>
      <c r="B121" s="12" t="n">
        <v>9</v>
      </c>
      <c r="C121" s="11" t="s">
        <v>344</v>
      </c>
      <c r="D121" s="11" t="s">
        <v>70</v>
      </c>
      <c r="E121" s="11" t="s">
        <v>345</v>
      </c>
    </row>
    <row r="122" customFormat="false" ht="15" hidden="false" customHeight="false" outlineLevel="0" collapsed="false">
      <c r="A122" s="14" t="s">
        <v>92</v>
      </c>
      <c r="B122" s="15" t="n">
        <v>1</v>
      </c>
      <c r="C122" s="14" t="s">
        <v>346</v>
      </c>
      <c r="D122" s="14" t="s">
        <v>70</v>
      </c>
      <c r="E122" s="14" t="s">
        <v>347</v>
      </c>
    </row>
    <row r="123" customFormat="false" ht="15" hidden="false" customHeight="false" outlineLevel="0" collapsed="false">
      <c r="A123" s="11" t="s">
        <v>92</v>
      </c>
      <c r="B123" s="12" t="n">
        <v>2</v>
      </c>
      <c r="C123" s="11" t="s">
        <v>348</v>
      </c>
      <c r="D123" s="11" t="s">
        <v>70</v>
      </c>
      <c r="E123" s="11" t="s">
        <v>349</v>
      </c>
    </row>
    <row r="124" customFormat="false" ht="15" hidden="false" customHeight="false" outlineLevel="0" collapsed="false">
      <c r="A124" s="14" t="s">
        <v>92</v>
      </c>
      <c r="B124" s="15" t="n">
        <v>3</v>
      </c>
      <c r="C124" s="14" t="s">
        <v>350</v>
      </c>
      <c r="D124" s="14" t="s">
        <v>70</v>
      </c>
      <c r="E124" s="14" t="s">
        <v>351</v>
      </c>
    </row>
    <row r="125" customFormat="false" ht="15" hidden="false" customHeight="false" outlineLevel="0" collapsed="false">
      <c r="A125" s="11" t="s">
        <v>94</v>
      </c>
      <c r="B125" s="12" t="n">
        <v>1</v>
      </c>
      <c r="C125" s="11" t="s">
        <v>352</v>
      </c>
      <c r="D125" s="11" t="s">
        <v>51</v>
      </c>
      <c r="E125" s="11" t="s">
        <v>353</v>
      </c>
    </row>
    <row r="126" customFormat="false" ht="15" hidden="false" customHeight="false" outlineLevel="0" collapsed="false">
      <c r="A126" s="14" t="s">
        <v>94</v>
      </c>
      <c r="B126" s="15" t="n">
        <v>2</v>
      </c>
      <c r="C126" s="14" t="s">
        <v>354</v>
      </c>
      <c r="D126" s="14" t="s">
        <v>70</v>
      </c>
      <c r="E126" s="14" t="s">
        <v>355</v>
      </c>
    </row>
    <row r="127" customFormat="false" ht="15" hidden="false" customHeight="false" outlineLevel="0" collapsed="false">
      <c r="A127" s="11" t="s">
        <v>94</v>
      </c>
      <c r="B127" s="12" t="n">
        <v>3</v>
      </c>
      <c r="C127" s="11" t="s">
        <v>356</v>
      </c>
      <c r="D127" s="11" t="s">
        <v>51</v>
      </c>
      <c r="E127" s="11" t="s">
        <v>357</v>
      </c>
    </row>
    <row r="128" customFormat="false" ht="15" hidden="false" customHeight="false" outlineLevel="0" collapsed="false">
      <c r="A128" s="14" t="s">
        <v>94</v>
      </c>
      <c r="B128" s="15" t="n">
        <v>4</v>
      </c>
      <c r="C128" s="14" t="s">
        <v>358</v>
      </c>
      <c r="D128" s="14" t="s">
        <v>70</v>
      </c>
      <c r="E128" s="14" t="s">
        <v>359</v>
      </c>
    </row>
    <row r="129" customFormat="false" ht="15" hidden="false" customHeight="false" outlineLevel="0" collapsed="false">
      <c r="A129" s="11" t="s">
        <v>94</v>
      </c>
      <c r="B129" s="12" t="n">
        <v>5</v>
      </c>
      <c r="C129" s="11" t="s">
        <v>360</v>
      </c>
      <c r="D129" s="11" t="s">
        <v>70</v>
      </c>
      <c r="E129" s="11" t="s">
        <v>361</v>
      </c>
    </row>
    <row r="130" customFormat="false" ht="15" hidden="false" customHeight="false" outlineLevel="0" collapsed="false">
      <c r="A130" s="14" t="s">
        <v>97</v>
      </c>
      <c r="B130" s="15" t="n">
        <v>1</v>
      </c>
      <c r="C130" s="14" t="s">
        <v>362</v>
      </c>
      <c r="D130" s="14" t="s">
        <v>70</v>
      </c>
      <c r="E130" s="14" t="s">
        <v>363</v>
      </c>
    </row>
    <row r="131" customFormat="false" ht="15" hidden="false" customHeight="false" outlineLevel="0" collapsed="false">
      <c r="A131" s="11" t="s">
        <v>97</v>
      </c>
      <c r="B131" s="12" t="n">
        <v>2</v>
      </c>
      <c r="C131" s="11" t="s">
        <v>364</v>
      </c>
      <c r="D131" s="11" t="s">
        <v>51</v>
      </c>
      <c r="E131" s="11" t="s">
        <v>365</v>
      </c>
    </row>
    <row r="132" customFormat="false" ht="15" hidden="false" customHeight="false" outlineLevel="0" collapsed="false">
      <c r="A132" s="14" t="s">
        <v>97</v>
      </c>
      <c r="B132" s="15" t="n">
        <v>3</v>
      </c>
      <c r="C132" s="14" t="s">
        <v>366</v>
      </c>
      <c r="D132" s="14" t="s">
        <v>51</v>
      </c>
      <c r="E132" s="14" t="s">
        <v>367</v>
      </c>
    </row>
    <row r="133" customFormat="false" ht="15" hidden="false" customHeight="false" outlineLevel="0" collapsed="false">
      <c r="A133" s="11" t="s">
        <v>99</v>
      </c>
      <c r="B133" s="12" t="n">
        <v>1</v>
      </c>
      <c r="C133" s="11" t="s">
        <v>368</v>
      </c>
      <c r="D133" s="11" t="s">
        <v>51</v>
      </c>
      <c r="E133" s="11" t="s">
        <v>369</v>
      </c>
    </row>
    <row r="134" customFormat="false" ht="15" hidden="false" customHeight="false" outlineLevel="0" collapsed="false">
      <c r="A134" s="14" t="s">
        <v>99</v>
      </c>
      <c r="B134" s="15" t="n">
        <v>2</v>
      </c>
      <c r="C134" s="14" t="s">
        <v>370</v>
      </c>
      <c r="D134" s="14" t="s">
        <v>51</v>
      </c>
      <c r="E134" s="14" t="s">
        <v>371</v>
      </c>
    </row>
    <row r="135" customFormat="false" ht="15" hidden="false" customHeight="false" outlineLevel="0" collapsed="false">
      <c r="A135" s="11" t="s">
        <v>99</v>
      </c>
      <c r="B135" s="12" t="n">
        <v>3</v>
      </c>
      <c r="C135" s="11" t="s">
        <v>372</v>
      </c>
      <c r="D135" s="11" t="s">
        <v>70</v>
      </c>
      <c r="E135" s="11" t="s">
        <v>373</v>
      </c>
    </row>
    <row r="136" customFormat="false" ht="15" hidden="false" customHeight="false" outlineLevel="0" collapsed="false">
      <c r="A136" s="14" t="s">
        <v>99</v>
      </c>
      <c r="B136" s="15" t="n">
        <v>4</v>
      </c>
      <c r="C136" s="14" t="s">
        <v>374</v>
      </c>
      <c r="D136" s="14" t="s">
        <v>51</v>
      </c>
      <c r="E136" s="14" t="s">
        <v>375</v>
      </c>
    </row>
    <row r="137" customFormat="false" ht="15" hidden="false" customHeight="false" outlineLevel="0" collapsed="false">
      <c r="A137" s="11" t="s">
        <v>101</v>
      </c>
      <c r="B137" s="12" t="n">
        <v>1</v>
      </c>
      <c r="C137" s="11" t="s">
        <v>376</v>
      </c>
      <c r="D137" s="11" t="s">
        <v>51</v>
      </c>
      <c r="E137" s="11" t="s">
        <v>377</v>
      </c>
    </row>
    <row r="138" customFormat="false" ht="15" hidden="false" customHeight="false" outlineLevel="0" collapsed="false">
      <c r="A138" s="14" t="s">
        <v>101</v>
      </c>
      <c r="B138" s="15" t="n">
        <v>2</v>
      </c>
      <c r="C138" s="14" t="s">
        <v>378</v>
      </c>
      <c r="D138" s="14" t="s">
        <v>51</v>
      </c>
      <c r="E138" s="14" t="s">
        <v>379</v>
      </c>
    </row>
    <row r="139" customFormat="false" ht="15" hidden="false" customHeight="false" outlineLevel="0" collapsed="false">
      <c r="A139" s="11" t="s">
        <v>101</v>
      </c>
      <c r="B139" s="12" t="n">
        <v>3</v>
      </c>
      <c r="C139" s="11" t="s">
        <v>122</v>
      </c>
      <c r="D139" s="11" t="s">
        <v>70</v>
      </c>
      <c r="E139" s="11" t="s">
        <v>380</v>
      </c>
    </row>
    <row r="140" customFormat="false" ht="15" hidden="false" customHeight="false" outlineLevel="0" collapsed="false">
      <c r="A140" s="14" t="s">
        <v>101</v>
      </c>
      <c r="B140" s="15" t="n">
        <v>4</v>
      </c>
      <c r="C140" s="14" t="s">
        <v>381</v>
      </c>
      <c r="D140" s="14" t="s">
        <v>40</v>
      </c>
      <c r="E140" s="14" t="s">
        <v>382</v>
      </c>
    </row>
    <row r="141" customFormat="false" ht="15" hidden="false" customHeight="false" outlineLevel="0" collapsed="false">
      <c r="A141" s="11" t="s">
        <v>103</v>
      </c>
      <c r="B141" s="12" t="n">
        <v>1</v>
      </c>
      <c r="C141" s="11" t="s">
        <v>383</v>
      </c>
      <c r="D141" s="11" t="s">
        <v>70</v>
      </c>
      <c r="E141" s="11" t="s">
        <v>384</v>
      </c>
    </row>
    <row r="142" customFormat="false" ht="15" hidden="false" customHeight="false" outlineLevel="0" collapsed="false">
      <c r="A142" s="14" t="s">
        <v>103</v>
      </c>
      <c r="B142" s="15" t="n">
        <v>2</v>
      </c>
      <c r="C142" s="14" t="s">
        <v>385</v>
      </c>
      <c r="D142" s="14" t="s">
        <v>51</v>
      </c>
      <c r="E142" s="14" t="s">
        <v>386</v>
      </c>
    </row>
    <row r="143" customFormat="false" ht="15" hidden="false" customHeight="false" outlineLevel="0" collapsed="false">
      <c r="A143" s="11" t="s">
        <v>103</v>
      </c>
      <c r="B143" s="12" t="n">
        <v>3</v>
      </c>
      <c r="C143" s="11" t="s">
        <v>387</v>
      </c>
      <c r="D143" s="11" t="s">
        <v>51</v>
      </c>
      <c r="E143" s="11" t="s">
        <v>388</v>
      </c>
    </row>
    <row r="144" customFormat="false" ht="15" hidden="false" customHeight="false" outlineLevel="0" collapsed="false">
      <c r="A144" s="14" t="s">
        <v>103</v>
      </c>
      <c r="B144" s="15" t="n">
        <v>4</v>
      </c>
      <c r="C144" s="14" t="s">
        <v>389</v>
      </c>
      <c r="D144" s="14" t="s">
        <v>51</v>
      </c>
      <c r="E144" s="14" t="s">
        <v>390</v>
      </c>
    </row>
    <row r="145" customFormat="false" ht="15" hidden="false" customHeight="false" outlineLevel="0" collapsed="false">
      <c r="A145" s="11" t="s">
        <v>103</v>
      </c>
      <c r="B145" s="12" t="n">
        <v>5</v>
      </c>
      <c r="C145" s="11" t="s">
        <v>391</v>
      </c>
      <c r="D145" s="11" t="s">
        <v>70</v>
      </c>
      <c r="E145" s="11" t="s">
        <v>392</v>
      </c>
    </row>
    <row r="146" customFormat="false" ht="15" hidden="false" customHeight="false" outlineLevel="0" collapsed="false">
      <c r="A146" s="14" t="s">
        <v>105</v>
      </c>
      <c r="B146" s="15" t="n">
        <v>1</v>
      </c>
      <c r="C146" s="14" t="s">
        <v>393</v>
      </c>
      <c r="D146" s="14" t="s">
        <v>51</v>
      </c>
      <c r="E146" s="14" t="s">
        <v>394</v>
      </c>
    </row>
    <row r="147" customFormat="false" ht="15" hidden="false" customHeight="false" outlineLevel="0" collapsed="false">
      <c r="A147" s="11" t="s">
        <v>105</v>
      </c>
      <c r="B147" s="12" t="n">
        <v>2</v>
      </c>
      <c r="C147" s="11" t="s">
        <v>395</v>
      </c>
      <c r="D147" s="11" t="s">
        <v>51</v>
      </c>
      <c r="E147" s="11" t="s">
        <v>396</v>
      </c>
    </row>
    <row r="148" customFormat="false" ht="15" hidden="false" customHeight="false" outlineLevel="0" collapsed="false">
      <c r="A148" s="14" t="s">
        <v>105</v>
      </c>
      <c r="B148" s="15" t="n">
        <v>3</v>
      </c>
      <c r="C148" s="14" t="s">
        <v>397</v>
      </c>
      <c r="D148" s="14" t="s">
        <v>70</v>
      </c>
      <c r="E148" s="14" t="s">
        <v>398</v>
      </c>
    </row>
    <row r="149" customFormat="false" ht="15" hidden="false" customHeight="false" outlineLevel="0" collapsed="false">
      <c r="A149" s="11" t="s">
        <v>105</v>
      </c>
      <c r="B149" s="12" t="n">
        <v>4</v>
      </c>
      <c r="C149" s="11" t="s">
        <v>399</v>
      </c>
      <c r="D149" s="11" t="s">
        <v>51</v>
      </c>
      <c r="E149" s="11" t="s">
        <v>400</v>
      </c>
    </row>
    <row r="150" customFormat="false" ht="15" hidden="false" customHeight="false" outlineLevel="0" collapsed="false">
      <c r="A150" s="14" t="s">
        <v>105</v>
      </c>
      <c r="B150" s="15" t="n">
        <v>5</v>
      </c>
      <c r="C150" s="14" t="s">
        <v>401</v>
      </c>
      <c r="D150" s="14" t="s">
        <v>70</v>
      </c>
      <c r="E150" s="14" t="s">
        <v>402</v>
      </c>
    </row>
    <row r="151" customFormat="false" ht="15" hidden="false" customHeight="false" outlineLevel="0" collapsed="false">
      <c r="A151" s="11" t="s">
        <v>105</v>
      </c>
      <c r="B151" s="12" t="n">
        <v>6</v>
      </c>
      <c r="C151" s="11" t="s">
        <v>403</v>
      </c>
      <c r="D151" s="11" t="s">
        <v>51</v>
      </c>
      <c r="E151" s="11" t="s">
        <v>404</v>
      </c>
    </row>
    <row r="152" customFormat="false" ht="15" hidden="false" customHeight="false" outlineLevel="0" collapsed="false">
      <c r="A152" s="14" t="s">
        <v>105</v>
      </c>
      <c r="B152" s="15" t="n">
        <v>7</v>
      </c>
      <c r="C152" s="14" t="s">
        <v>370</v>
      </c>
      <c r="D152" s="14" t="s">
        <v>51</v>
      </c>
      <c r="E152" s="14" t="s">
        <v>405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8" t="s">
        <v>8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9" t="s">
        <v>406</v>
      </c>
      <c r="B2" s="9"/>
      <c r="C2" s="9"/>
      <c r="D2" s="9"/>
      <c r="E2" s="9"/>
      <c r="F2" s="9"/>
    </row>
    <row r="4" customFormat="false" ht="30" hidden="false" customHeight="true" outlineLevel="0" collapsed="false">
      <c r="A4" s="10" t="s">
        <v>30</v>
      </c>
      <c r="B4" s="10" t="s">
        <v>407</v>
      </c>
      <c r="C4" s="10" t="s">
        <v>408</v>
      </c>
      <c r="D4" s="10" t="s">
        <v>409</v>
      </c>
      <c r="E4" s="10" t="s">
        <v>410</v>
      </c>
      <c r="F4" s="10" t="s">
        <v>411</v>
      </c>
    </row>
    <row r="5" customFormat="false" ht="15" hidden="false" customHeight="false" outlineLevel="0" collapsed="false">
      <c r="A5" s="11" t="s">
        <v>46</v>
      </c>
      <c r="B5" s="11" t="s">
        <v>412</v>
      </c>
      <c r="C5" s="11" t="s">
        <v>413</v>
      </c>
      <c r="D5" s="11" t="s">
        <v>414</v>
      </c>
      <c r="E5" s="11" t="s">
        <v>415</v>
      </c>
      <c r="F5" s="11" t="s">
        <v>416</v>
      </c>
    </row>
    <row r="6" customFormat="false" ht="15" hidden="false" customHeight="false" outlineLevel="0" collapsed="false">
      <c r="A6" s="14" t="s">
        <v>46</v>
      </c>
      <c r="B6" s="14" t="s">
        <v>412</v>
      </c>
      <c r="C6" s="14" t="s">
        <v>417</v>
      </c>
      <c r="D6" s="14" t="s">
        <v>62</v>
      </c>
      <c r="E6" s="14" t="s">
        <v>418</v>
      </c>
      <c r="F6" s="14" t="s">
        <v>419</v>
      </c>
    </row>
    <row r="7" customFormat="false" ht="15" hidden="false" customHeight="false" outlineLevel="0" collapsed="false">
      <c r="A7" s="11" t="s">
        <v>46</v>
      </c>
      <c r="B7" s="11" t="s">
        <v>412</v>
      </c>
      <c r="C7" s="11" t="s">
        <v>420</v>
      </c>
      <c r="D7" s="11" t="s">
        <v>421</v>
      </c>
      <c r="E7" s="11" t="s">
        <v>422</v>
      </c>
      <c r="F7" s="11" t="s">
        <v>423</v>
      </c>
    </row>
    <row r="8" customFormat="false" ht="15" hidden="false" customHeight="false" outlineLevel="0" collapsed="false">
      <c r="A8" s="14" t="s">
        <v>46</v>
      </c>
      <c r="B8" s="14" t="s">
        <v>136</v>
      </c>
      <c r="C8" s="14" t="s">
        <v>424</v>
      </c>
      <c r="D8" s="14" t="s">
        <v>425</v>
      </c>
      <c r="E8" s="14" t="s">
        <v>426</v>
      </c>
      <c r="F8" s="14" t="s">
        <v>427</v>
      </c>
    </row>
    <row r="9" customFormat="false" ht="15" hidden="false" customHeight="false" outlineLevel="0" collapsed="false">
      <c r="A9" s="11" t="s">
        <v>46</v>
      </c>
      <c r="B9" s="11" t="s">
        <v>136</v>
      </c>
      <c r="C9" s="11" t="s">
        <v>428</v>
      </c>
      <c r="D9" s="11" t="s">
        <v>429</v>
      </c>
      <c r="E9" s="11" t="s">
        <v>430</v>
      </c>
      <c r="F9" s="11" t="s">
        <v>431</v>
      </c>
    </row>
    <row r="10" customFormat="false" ht="15" hidden="false" customHeight="false" outlineLevel="0" collapsed="false">
      <c r="A10" s="14" t="s">
        <v>46</v>
      </c>
      <c r="B10" s="14" t="s">
        <v>136</v>
      </c>
      <c r="C10" s="14" t="s">
        <v>432</v>
      </c>
      <c r="D10" s="14" t="s">
        <v>433</v>
      </c>
      <c r="E10" s="14" t="s">
        <v>418</v>
      </c>
      <c r="F10" s="14" t="s">
        <v>434</v>
      </c>
    </row>
    <row r="11" customFormat="false" ht="15" hidden="false" customHeight="false" outlineLevel="0" collapsed="false">
      <c r="A11" s="11" t="s">
        <v>49</v>
      </c>
      <c r="B11" s="11" t="s">
        <v>435</v>
      </c>
      <c r="C11" s="11" t="s">
        <v>436</v>
      </c>
      <c r="D11" s="11" t="s">
        <v>437</v>
      </c>
      <c r="E11" s="11" t="s">
        <v>438</v>
      </c>
      <c r="F11" s="11"/>
    </row>
    <row r="12" customFormat="false" ht="15" hidden="false" customHeight="false" outlineLevel="0" collapsed="false">
      <c r="A12" s="14" t="s">
        <v>49</v>
      </c>
      <c r="B12" s="14" t="s">
        <v>439</v>
      </c>
      <c r="C12" s="14" t="s">
        <v>440</v>
      </c>
      <c r="D12" s="14" t="s">
        <v>441</v>
      </c>
      <c r="E12" s="14" t="s">
        <v>442</v>
      </c>
      <c r="F12" s="14"/>
    </row>
    <row r="13" customFormat="false" ht="15" hidden="false" customHeight="false" outlineLevel="0" collapsed="false">
      <c r="A13" s="11" t="s">
        <v>49</v>
      </c>
      <c r="B13" s="11" t="s">
        <v>439</v>
      </c>
      <c r="C13" s="11" t="s">
        <v>443</v>
      </c>
      <c r="D13" s="11" t="s">
        <v>444</v>
      </c>
      <c r="E13" s="11" t="s">
        <v>445</v>
      </c>
      <c r="F13" s="11"/>
    </row>
    <row r="14" customFormat="false" ht="15" hidden="false" customHeight="false" outlineLevel="0" collapsed="false">
      <c r="A14" s="14" t="s">
        <v>49</v>
      </c>
      <c r="B14" s="14" t="s">
        <v>439</v>
      </c>
      <c r="C14" s="14" t="s">
        <v>446</v>
      </c>
      <c r="D14" s="14" t="s">
        <v>75</v>
      </c>
      <c r="E14" s="14" t="s">
        <v>445</v>
      </c>
      <c r="F14" s="14"/>
    </row>
    <row r="15" customFormat="false" ht="15" hidden="false" customHeight="false" outlineLevel="0" collapsed="false">
      <c r="A15" s="11" t="s">
        <v>49</v>
      </c>
      <c r="B15" s="11" t="s">
        <v>439</v>
      </c>
      <c r="C15" s="11" t="s">
        <v>447</v>
      </c>
      <c r="D15" s="11" t="s">
        <v>448</v>
      </c>
      <c r="E15" s="11" t="s">
        <v>449</v>
      </c>
      <c r="F15" s="11"/>
    </row>
    <row r="16" customFormat="false" ht="15" hidden="false" customHeight="false" outlineLevel="0" collapsed="false">
      <c r="A16" s="14" t="s">
        <v>49</v>
      </c>
      <c r="B16" s="14" t="s">
        <v>450</v>
      </c>
      <c r="C16" s="14" t="s">
        <v>451</v>
      </c>
      <c r="D16" s="14" t="s">
        <v>75</v>
      </c>
      <c r="E16" s="14" t="s">
        <v>445</v>
      </c>
      <c r="F16" s="14" t="s">
        <v>452</v>
      </c>
    </row>
    <row r="17" customFormat="false" ht="15" hidden="false" customHeight="false" outlineLevel="0" collapsed="false">
      <c r="A17" s="11" t="s">
        <v>49</v>
      </c>
      <c r="B17" s="11" t="s">
        <v>453</v>
      </c>
      <c r="C17" s="11" t="s">
        <v>454</v>
      </c>
      <c r="D17" s="11" t="s">
        <v>455</v>
      </c>
      <c r="E17" s="11" t="s">
        <v>456</v>
      </c>
      <c r="F17" s="11"/>
    </row>
    <row r="18" customFormat="false" ht="15" hidden="false" customHeight="false" outlineLevel="0" collapsed="false">
      <c r="A18" s="14" t="s">
        <v>49</v>
      </c>
      <c r="B18" s="14" t="s">
        <v>457</v>
      </c>
      <c r="C18" s="14" t="s">
        <v>458</v>
      </c>
      <c r="D18" s="14" t="s">
        <v>62</v>
      </c>
      <c r="E18" s="14" t="s">
        <v>459</v>
      </c>
      <c r="F18" s="14" t="s">
        <v>460</v>
      </c>
    </row>
    <row r="19" customFormat="false" ht="15" hidden="false" customHeight="false" outlineLevel="0" collapsed="false">
      <c r="A19" s="11" t="s">
        <v>49</v>
      </c>
      <c r="B19" s="11" t="s">
        <v>461</v>
      </c>
      <c r="C19" s="11" t="s">
        <v>462</v>
      </c>
      <c r="D19" s="11" t="s">
        <v>444</v>
      </c>
      <c r="E19" s="11" t="s">
        <v>418</v>
      </c>
      <c r="F19" s="11" t="s">
        <v>463</v>
      </c>
    </row>
    <row r="20" customFormat="false" ht="15" hidden="false" customHeight="false" outlineLevel="0" collapsed="false">
      <c r="A20" s="14" t="s">
        <v>49</v>
      </c>
      <c r="B20" s="14" t="s">
        <v>461</v>
      </c>
      <c r="C20" s="14" t="s">
        <v>464</v>
      </c>
      <c r="D20" s="14" t="s">
        <v>83</v>
      </c>
      <c r="E20" s="14" t="s">
        <v>465</v>
      </c>
      <c r="F20" s="14"/>
    </row>
    <row r="21" customFormat="false" ht="15" hidden="false" customHeight="false" outlineLevel="0" collapsed="false">
      <c r="A21" s="11" t="s">
        <v>49</v>
      </c>
      <c r="B21" s="11" t="s">
        <v>461</v>
      </c>
      <c r="C21" s="11" t="s">
        <v>466</v>
      </c>
      <c r="D21" s="11" t="s">
        <v>86</v>
      </c>
      <c r="E21" s="11" t="s">
        <v>426</v>
      </c>
      <c r="F21" s="11"/>
    </row>
    <row r="22" customFormat="false" ht="15" hidden="false" customHeight="false" outlineLevel="0" collapsed="false">
      <c r="A22" s="14" t="s">
        <v>49</v>
      </c>
      <c r="B22" s="14" t="s">
        <v>467</v>
      </c>
      <c r="C22" s="14" t="s">
        <v>468</v>
      </c>
      <c r="D22" s="14" t="s">
        <v>437</v>
      </c>
      <c r="E22" s="14" t="s">
        <v>418</v>
      </c>
      <c r="F22" s="14" t="s">
        <v>469</v>
      </c>
    </row>
    <row r="23" customFormat="false" ht="15" hidden="false" customHeight="false" outlineLevel="0" collapsed="false">
      <c r="A23" s="11" t="s">
        <v>49</v>
      </c>
      <c r="B23" s="11" t="s">
        <v>467</v>
      </c>
      <c r="C23" s="11" t="s">
        <v>470</v>
      </c>
      <c r="D23" s="11" t="s">
        <v>62</v>
      </c>
      <c r="E23" s="11" t="s">
        <v>471</v>
      </c>
      <c r="F23" s="11"/>
    </row>
    <row r="24" customFormat="false" ht="15" hidden="false" customHeight="false" outlineLevel="0" collapsed="false">
      <c r="A24" s="14" t="s">
        <v>49</v>
      </c>
      <c r="B24" s="14" t="s">
        <v>467</v>
      </c>
      <c r="C24" s="14" t="s">
        <v>472</v>
      </c>
      <c r="D24" s="14" t="s">
        <v>425</v>
      </c>
      <c r="E24" s="14" t="s">
        <v>426</v>
      </c>
      <c r="F24" s="14"/>
    </row>
    <row r="25" customFormat="false" ht="15" hidden="false" customHeight="false" outlineLevel="0" collapsed="false">
      <c r="A25" s="11" t="s">
        <v>49</v>
      </c>
      <c r="B25" s="11" t="s">
        <v>473</v>
      </c>
      <c r="C25" s="11" t="s">
        <v>474</v>
      </c>
      <c r="D25" s="11" t="s">
        <v>475</v>
      </c>
      <c r="E25" s="11" t="s">
        <v>415</v>
      </c>
      <c r="F25" s="11" t="s">
        <v>476</v>
      </c>
    </row>
    <row r="26" customFormat="false" ht="15" hidden="false" customHeight="false" outlineLevel="0" collapsed="false">
      <c r="A26" s="14" t="s">
        <v>49</v>
      </c>
      <c r="B26" s="14" t="s">
        <v>477</v>
      </c>
      <c r="C26" s="14" t="s">
        <v>478</v>
      </c>
      <c r="D26" s="14" t="s">
        <v>425</v>
      </c>
      <c r="E26" s="14" t="s">
        <v>479</v>
      </c>
      <c r="F26" s="14"/>
    </row>
    <row r="27" customFormat="false" ht="15" hidden="false" customHeight="false" outlineLevel="0" collapsed="false">
      <c r="A27" s="11" t="s">
        <v>49</v>
      </c>
      <c r="B27" s="11" t="s">
        <v>477</v>
      </c>
      <c r="C27" s="11" t="s">
        <v>480</v>
      </c>
      <c r="D27" s="11" t="s">
        <v>425</v>
      </c>
      <c r="E27" s="11" t="s">
        <v>481</v>
      </c>
      <c r="F27" s="11" t="s">
        <v>482</v>
      </c>
    </row>
    <row r="28" customFormat="false" ht="15" hidden="false" customHeight="false" outlineLevel="0" collapsed="false">
      <c r="A28" s="14" t="s">
        <v>49</v>
      </c>
      <c r="B28" s="14" t="s">
        <v>483</v>
      </c>
      <c r="C28" s="14" t="s">
        <v>478</v>
      </c>
      <c r="D28" s="14" t="s">
        <v>484</v>
      </c>
      <c r="E28" s="14" t="s">
        <v>485</v>
      </c>
      <c r="F28" s="14"/>
    </row>
    <row r="29" customFormat="false" ht="15" hidden="false" customHeight="false" outlineLevel="0" collapsed="false">
      <c r="A29" s="11" t="s">
        <v>49</v>
      </c>
      <c r="B29" s="11" t="s">
        <v>486</v>
      </c>
      <c r="C29" s="11" t="s">
        <v>487</v>
      </c>
      <c r="D29" s="11" t="s">
        <v>488</v>
      </c>
      <c r="E29" s="11" t="s">
        <v>445</v>
      </c>
      <c r="F29" s="11"/>
    </row>
    <row r="30" customFormat="false" ht="15" hidden="false" customHeight="false" outlineLevel="0" collapsed="false">
      <c r="A30" s="14" t="s">
        <v>49</v>
      </c>
      <c r="B30" s="14" t="s">
        <v>489</v>
      </c>
      <c r="C30" s="14" t="s">
        <v>490</v>
      </c>
      <c r="D30" s="14" t="s">
        <v>491</v>
      </c>
      <c r="E30" s="14" t="s">
        <v>445</v>
      </c>
      <c r="F30" s="14"/>
    </row>
    <row r="31" customFormat="false" ht="15" hidden="false" customHeight="false" outlineLevel="0" collapsed="false">
      <c r="A31" s="11" t="s">
        <v>49</v>
      </c>
      <c r="B31" s="11" t="s">
        <v>492</v>
      </c>
      <c r="C31" s="11" t="s">
        <v>493</v>
      </c>
      <c r="D31" s="11" t="s">
        <v>437</v>
      </c>
      <c r="E31" s="11" t="s">
        <v>494</v>
      </c>
      <c r="F31" s="11" t="s">
        <v>495</v>
      </c>
    </row>
    <row r="32" customFormat="false" ht="15" hidden="false" customHeight="false" outlineLevel="0" collapsed="false">
      <c r="A32" s="14" t="s">
        <v>49</v>
      </c>
      <c r="B32" s="14" t="s">
        <v>496</v>
      </c>
      <c r="C32" s="14" t="s">
        <v>497</v>
      </c>
      <c r="D32" s="14" t="s">
        <v>498</v>
      </c>
      <c r="E32" s="14" t="s">
        <v>499</v>
      </c>
      <c r="F32" s="14" t="s">
        <v>500</v>
      </c>
    </row>
    <row r="33" customFormat="false" ht="15" hidden="false" customHeight="false" outlineLevel="0" collapsed="false">
      <c r="A33" s="11" t="s">
        <v>49</v>
      </c>
      <c r="B33" s="11" t="s">
        <v>501</v>
      </c>
      <c r="C33" s="11" t="s">
        <v>502</v>
      </c>
      <c r="D33" s="11" t="s">
        <v>503</v>
      </c>
      <c r="E33" s="11" t="s">
        <v>499</v>
      </c>
      <c r="F33" s="11"/>
    </row>
    <row r="34" customFormat="false" ht="15" hidden="false" customHeight="false" outlineLevel="0" collapsed="false">
      <c r="A34" s="14" t="s">
        <v>49</v>
      </c>
      <c r="B34" s="14" t="s">
        <v>501</v>
      </c>
      <c r="C34" s="14" t="s">
        <v>504</v>
      </c>
      <c r="D34" s="14" t="s">
        <v>505</v>
      </c>
      <c r="E34" s="14" t="s">
        <v>499</v>
      </c>
      <c r="F34" s="14"/>
    </row>
    <row r="35" customFormat="false" ht="15" hidden="false" customHeight="false" outlineLevel="0" collapsed="false">
      <c r="A35" s="11" t="s">
        <v>49</v>
      </c>
      <c r="B35" s="11" t="s">
        <v>506</v>
      </c>
      <c r="C35" s="11" t="s">
        <v>507</v>
      </c>
      <c r="D35" s="11" t="s">
        <v>508</v>
      </c>
      <c r="E35" s="11" t="s">
        <v>415</v>
      </c>
      <c r="F35" s="11"/>
    </row>
    <row r="36" customFormat="false" ht="15" hidden="false" customHeight="false" outlineLevel="0" collapsed="false">
      <c r="A36" s="14" t="s">
        <v>49</v>
      </c>
      <c r="B36" s="14" t="s">
        <v>506</v>
      </c>
      <c r="C36" s="14" t="s">
        <v>509</v>
      </c>
      <c r="D36" s="14" t="s">
        <v>510</v>
      </c>
      <c r="E36" s="14" t="s">
        <v>445</v>
      </c>
      <c r="F36" s="14"/>
    </row>
    <row r="37" customFormat="false" ht="15" hidden="false" customHeight="false" outlineLevel="0" collapsed="false">
      <c r="A37" s="11" t="s">
        <v>49</v>
      </c>
      <c r="B37" s="11" t="s">
        <v>162</v>
      </c>
      <c r="C37" s="11" t="s">
        <v>511</v>
      </c>
      <c r="D37" s="11" t="s">
        <v>512</v>
      </c>
      <c r="E37" s="11" t="s">
        <v>445</v>
      </c>
      <c r="F37" s="11"/>
    </row>
    <row r="38" customFormat="false" ht="15" hidden="false" customHeight="false" outlineLevel="0" collapsed="false">
      <c r="A38" s="14" t="s">
        <v>49</v>
      </c>
      <c r="B38" s="14" t="s">
        <v>162</v>
      </c>
      <c r="C38" s="14" t="s">
        <v>513</v>
      </c>
      <c r="D38" s="14" t="s">
        <v>514</v>
      </c>
      <c r="E38" s="14" t="s">
        <v>515</v>
      </c>
      <c r="F38" s="14"/>
    </row>
    <row r="39" customFormat="false" ht="15" hidden="false" customHeight="false" outlineLevel="0" collapsed="false">
      <c r="A39" s="11" t="s">
        <v>49</v>
      </c>
      <c r="B39" s="11" t="s">
        <v>516</v>
      </c>
      <c r="C39" s="11" t="s">
        <v>517</v>
      </c>
      <c r="D39" s="11" t="s">
        <v>518</v>
      </c>
      <c r="E39" s="11" t="s">
        <v>519</v>
      </c>
      <c r="F39" s="11"/>
    </row>
    <row r="40" customFormat="false" ht="15" hidden="false" customHeight="false" outlineLevel="0" collapsed="false">
      <c r="A40" s="14" t="s">
        <v>49</v>
      </c>
      <c r="B40" s="14" t="s">
        <v>516</v>
      </c>
      <c r="C40" s="14" t="s">
        <v>520</v>
      </c>
      <c r="D40" s="14" t="s">
        <v>86</v>
      </c>
      <c r="E40" s="14" t="s">
        <v>521</v>
      </c>
      <c r="F40" s="14"/>
    </row>
    <row r="41" customFormat="false" ht="15" hidden="false" customHeight="false" outlineLevel="0" collapsed="false">
      <c r="A41" s="11" t="s">
        <v>53</v>
      </c>
      <c r="B41" s="11" t="s">
        <v>522</v>
      </c>
      <c r="C41" s="11" t="s">
        <v>523</v>
      </c>
      <c r="D41" s="11" t="s">
        <v>524</v>
      </c>
      <c r="E41" s="11" t="s">
        <v>525</v>
      </c>
      <c r="F41" s="11"/>
    </row>
    <row r="42" customFormat="false" ht="15" hidden="false" customHeight="false" outlineLevel="0" collapsed="false">
      <c r="A42" s="14" t="s">
        <v>53</v>
      </c>
      <c r="B42" s="14" t="s">
        <v>526</v>
      </c>
      <c r="C42" s="14" t="s">
        <v>527</v>
      </c>
      <c r="D42" s="14" t="s">
        <v>528</v>
      </c>
      <c r="E42" s="14" t="s">
        <v>445</v>
      </c>
      <c r="F42" s="14"/>
    </row>
    <row r="43" customFormat="false" ht="15" hidden="false" customHeight="false" outlineLevel="0" collapsed="false">
      <c r="A43" s="11" t="s">
        <v>53</v>
      </c>
      <c r="B43" s="11" t="s">
        <v>529</v>
      </c>
      <c r="C43" s="11" t="s">
        <v>530</v>
      </c>
      <c r="D43" s="11" t="s">
        <v>444</v>
      </c>
      <c r="E43" s="11" t="s">
        <v>445</v>
      </c>
      <c r="F43" s="11"/>
    </row>
    <row r="44" customFormat="false" ht="15" hidden="false" customHeight="false" outlineLevel="0" collapsed="false">
      <c r="A44" s="14" t="s">
        <v>53</v>
      </c>
      <c r="B44" s="14" t="s">
        <v>529</v>
      </c>
      <c r="C44" s="14" t="s">
        <v>531</v>
      </c>
      <c r="D44" s="14" t="s">
        <v>532</v>
      </c>
      <c r="E44" s="14" t="s">
        <v>415</v>
      </c>
      <c r="F44" s="14" t="s">
        <v>533</v>
      </c>
    </row>
    <row r="45" customFormat="false" ht="15" hidden="false" customHeight="false" outlineLevel="0" collapsed="false">
      <c r="A45" s="11" t="s">
        <v>53</v>
      </c>
      <c r="B45" s="11" t="s">
        <v>529</v>
      </c>
      <c r="C45" s="11" t="s">
        <v>534</v>
      </c>
      <c r="D45" s="11" t="s">
        <v>535</v>
      </c>
      <c r="E45" s="11" t="s">
        <v>415</v>
      </c>
      <c r="F45" s="11" t="s">
        <v>536</v>
      </c>
    </row>
    <row r="46" customFormat="false" ht="15" hidden="false" customHeight="false" outlineLevel="0" collapsed="false">
      <c r="A46" s="14" t="s">
        <v>56</v>
      </c>
      <c r="B46" s="14" t="s">
        <v>537</v>
      </c>
      <c r="C46" s="14" t="s">
        <v>538</v>
      </c>
      <c r="D46" s="14" t="s">
        <v>444</v>
      </c>
      <c r="E46" s="14" t="s">
        <v>539</v>
      </c>
      <c r="F46" s="14" t="s">
        <v>540</v>
      </c>
    </row>
    <row r="47" customFormat="false" ht="15" hidden="false" customHeight="false" outlineLevel="0" collapsed="false">
      <c r="A47" s="11" t="s">
        <v>56</v>
      </c>
      <c r="B47" s="11" t="s">
        <v>537</v>
      </c>
      <c r="C47" s="11" t="s">
        <v>541</v>
      </c>
      <c r="D47" s="11" t="s">
        <v>542</v>
      </c>
      <c r="E47" s="11" t="s">
        <v>539</v>
      </c>
      <c r="F47" s="11" t="s">
        <v>540</v>
      </c>
    </row>
    <row r="48" customFormat="false" ht="15" hidden="false" customHeight="false" outlineLevel="0" collapsed="false">
      <c r="A48" s="14" t="s">
        <v>56</v>
      </c>
      <c r="B48" s="14" t="s">
        <v>537</v>
      </c>
      <c r="C48" s="14" t="s">
        <v>543</v>
      </c>
      <c r="D48" s="14" t="s">
        <v>544</v>
      </c>
      <c r="E48" s="14" t="s">
        <v>539</v>
      </c>
      <c r="F48" s="14" t="s">
        <v>540</v>
      </c>
    </row>
    <row r="49" customFormat="false" ht="15" hidden="false" customHeight="false" outlineLevel="0" collapsed="false">
      <c r="A49" s="11" t="s">
        <v>56</v>
      </c>
      <c r="B49" s="11" t="s">
        <v>545</v>
      </c>
      <c r="C49" s="11" t="s">
        <v>546</v>
      </c>
      <c r="D49" s="11" t="s">
        <v>86</v>
      </c>
      <c r="E49" s="11" t="s">
        <v>445</v>
      </c>
      <c r="F49" s="11" t="s">
        <v>547</v>
      </c>
    </row>
    <row r="50" customFormat="false" ht="15" hidden="false" customHeight="false" outlineLevel="0" collapsed="false">
      <c r="A50" s="14" t="s">
        <v>56</v>
      </c>
      <c r="B50" s="14" t="s">
        <v>548</v>
      </c>
      <c r="C50" s="14" t="s">
        <v>549</v>
      </c>
      <c r="D50" s="14" t="s">
        <v>550</v>
      </c>
      <c r="E50" s="14" t="s">
        <v>551</v>
      </c>
      <c r="F50" s="14" t="s">
        <v>552</v>
      </c>
    </row>
    <row r="51" customFormat="false" ht="23.85" hidden="false" customHeight="false" outlineLevel="0" collapsed="false">
      <c r="A51" s="11" t="s">
        <v>64</v>
      </c>
      <c r="B51" s="11" t="s">
        <v>553</v>
      </c>
      <c r="C51" s="11" t="s">
        <v>554</v>
      </c>
      <c r="D51" s="11" t="s">
        <v>555</v>
      </c>
      <c r="E51" s="11" t="s">
        <v>445</v>
      </c>
      <c r="F51" s="11" t="s">
        <v>556</v>
      </c>
    </row>
    <row r="52" customFormat="false" ht="23.85" hidden="false" customHeight="false" outlineLevel="0" collapsed="false">
      <c r="A52" s="14" t="s">
        <v>64</v>
      </c>
      <c r="B52" s="14" t="s">
        <v>553</v>
      </c>
      <c r="C52" s="14" t="s">
        <v>557</v>
      </c>
      <c r="D52" s="14" t="s">
        <v>558</v>
      </c>
      <c r="E52" s="14" t="s">
        <v>559</v>
      </c>
      <c r="F52" s="14"/>
    </row>
    <row r="53" customFormat="false" ht="23.85" hidden="false" customHeight="false" outlineLevel="0" collapsed="false">
      <c r="A53" s="11" t="s">
        <v>64</v>
      </c>
      <c r="B53" s="11" t="s">
        <v>553</v>
      </c>
      <c r="C53" s="11" t="s">
        <v>560</v>
      </c>
      <c r="D53" s="11" t="s">
        <v>561</v>
      </c>
      <c r="E53" s="11" t="s">
        <v>562</v>
      </c>
      <c r="F53" s="11" t="s">
        <v>563</v>
      </c>
    </row>
    <row r="54" customFormat="false" ht="23.85" hidden="false" customHeight="false" outlineLevel="0" collapsed="false">
      <c r="A54" s="14" t="s">
        <v>64</v>
      </c>
      <c r="B54" s="14" t="s">
        <v>564</v>
      </c>
      <c r="C54" s="14" t="s">
        <v>565</v>
      </c>
      <c r="D54" s="14" t="s">
        <v>437</v>
      </c>
      <c r="E54" s="14" t="s">
        <v>566</v>
      </c>
      <c r="F54" s="14"/>
    </row>
    <row r="55" customFormat="false" ht="23.85" hidden="false" customHeight="false" outlineLevel="0" collapsed="false">
      <c r="A55" s="11" t="s">
        <v>64</v>
      </c>
      <c r="B55" s="11" t="s">
        <v>567</v>
      </c>
      <c r="C55" s="11" t="s">
        <v>565</v>
      </c>
      <c r="D55" s="11" t="s">
        <v>437</v>
      </c>
      <c r="E55" s="11" t="s">
        <v>566</v>
      </c>
      <c r="F55" s="11"/>
    </row>
    <row r="56" customFormat="false" ht="23.85" hidden="false" customHeight="false" outlineLevel="0" collapsed="false">
      <c r="A56" s="14" t="s">
        <v>64</v>
      </c>
      <c r="B56" s="14" t="s">
        <v>568</v>
      </c>
      <c r="C56" s="14" t="s">
        <v>565</v>
      </c>
      <c r="D56" s="14" t="s">
        <v>569</v>
      </c>
      <c r="E56" s="14" t="s">
        <v>566</v>
      </c>
      <c r="F56" s="14"/>
    </row>
    <row r="57" customFormat="false" ht="23.85" hidden="false" customHeight="false" outlineLevel="0" collapsed="false">
      <c r="A57" s="11" t="s">
        <v>64</v>
      </c>
      <c r="B57" s="11" t="s">
        <v>570</v>
      </c>
      <c r="C57" s="11" t="s">
        <v>565</v>
      </c>
      <c r="D57" s="11" t="s">
        <v>75</v>
      </c>
      <c r="E57" s="11" t="s">
        <v>566</v>
      </c>
      <c r="F57" s="11" t="s">
        <v>571</v>
      </c>
    </row>
    <row r="58" customFormat="false" ht="15" hidden="false" customHeight="false" outlineLevel="0" collapsed="false">
      <c r="A58" s="14" t="s">
        <v>66</v>
      </c>
      <c r="B58" s="14" t="s">
        <v>572</v>
      </c>
      <c r="C58" s="14" t="s">
        <v>573</v>
      </c>
      <c r="D58" s="14" t="s">
        <v>574</v>
      </c>
      <c r="E58" s="14" t="s">
        <v>575</v>
      </c>
      <c r="F58" s="14"/>
    </row>
    <row r="59" customFormat="false" ht="15" hidden="false" customHeight="false" outlineLevel="0" collapsed="false">
      <c r="A59" s="11" t="s">
        <v>66</v>
      </c>
      <c r="B59" s="11" t="s">
        <v>576</v>
      </c>
      <c r="C59" s="11" t="s">
        <v>577</v>
      </c>
      <c r="D59" s="11" t="s">
        <v>578</v>
      </c>
      <c r="E59" s="11" t="s">
        <v>445</v>
      </c>
      <c r="F59" s="11" t="s">
        <v>579</v>
      </c>
    </row>
    <row r="60" customFormat="false" ht="15" hidden="false" customHeight="false" outlineLevel="0" collapsed="false">
      <c r="A60" s="14" t="s">
        <v>66</v>
      </c>
      <c r="B60" s="14" t="s">
        <v>580</v>
      </c>
      <c r="C60" s="14" t="s">
        <v>581</v>
      </c>
      <c r="D60" s="14" t="s">
        <v>582</v>
      </c>
      <c r="E60" s="14" t="s">
        <v>583</v>
      </c>
      <c r="F60" s="14"/>
    </row>
    <row r="61" customFormat="false" ht="15" hidden="false" customHeight="false" outlineLevel="0" collapsed="false">
      <c r="A61" s="11" t="s">
        <v>68</v>
      </c>
      <c r="B61" s="11" t="s">
        <v>584</v>
      </c>
      <c r="C61" s="11" t="s">
        <v>585</v>
      </c>
      <c r="D61" s="11" t="s">
        <v>569</v>
      </c>
      <c r="E61" s="11" t="s">
        <v>586</v>
      </c>
      <c r="F61" s="11" t="s">
        <v>587</v>
      </c>
    </row>
    <row r="62" customFormat="false" ht="23.85" hidden="false" customHeight="false" outlineLevel="0" collapsed="false">
      <c r="A62" s="14" t="s">
        <v>72</v>
      </c>
      <c r="B62" s="14" t="s">
        <v>588</v>
      </c>
      <c r="C62" s="14" t="s">
        <v>589</v>
      </c>
      <c r="D62" s="14" t="s">
        <v>590</v>
      </c>
      <c r="E62" s="14" t="s">
        <v>430</v>
      </c>
      <c r="F62" s="14"/>
    </row>
    <row r="63" customFormat="false" ht="15" hidden="false" customHeight="false" outlineLevel="0" collapsed="false">
      <c r="A63" s="11" t="s">
        <v>72</v>
      </c>
      <c r="B63" s="11" t="s">
        <v>591</v>
      </c>
      <c r="C63" s="11" t="s">
        <v>592</v>
      </c>
      <c r="D63" s="11" t="s">
        <v>475</v>
      </c>
      <c r="E63" s="11" t="s">
        <v>415</v>
      </c>
      <c r="F63" s="11" t="s">
        <v>593</v>
      </c>
    </row>
    <row r="64" customFormat="false" ht="15" hidden="false" customHeight="false" outlineLevel="0" collapsed="false">
      <c r="A64" s="14" t="s">
        <v>72</v>
      </c>
      <c r="B64" s="14" t="s">
        <v>594</v>
      </c>
      <c r="C64" s="14" t="s">
        <v>33</v>
      </c>
      <c r="D64" s="14" t="s">
        <v>595</v>
      </c>
      <c r="E64" s="14" t="s">
        <v>430</v>
      </c>
      <c r="F64" s="14" t="s">
        <v>596</v>
      </c>
    </row>
    <row r="65" customFormat="false" ht="15" hidden="false" customHeight="false" outlineLevel="0" collapsed="false">
      <c r="A65" s="11" t="s">
        <v>72</v>
      </c>
      <c r="B65" s="11" t="s">
        <v>597</v>
      </c>
      <c r="C65" s="11" t="s">
        <v>598</v>
      </c>
      <c r="D65" s="11" t="s">
        <v>599</v>
      </c>
      <c r="E65" s="11" t="s">
        <v>415</v>
      </c>
      <c r="F65" s="11" t="s">
        <v>600</v>
      </c>
    </row>
    <row r="66" customFormat="false" ht="15" hidden="false" customHeight="false" outlineLevel="0" collapsed="false">
      <c r="A66" s="14" t="s">
        <v>74</v>
      </c>
      <c r="B66" s="14" t="s">
        <v>601</v>
      </c>
      <c r="C66" s="14" t="s">
        <v>33</v>
      </c>
      <c r="D66" s="14" t="s">
        <v>75</v>
      </c>
      <c r="E66" s="14" t="s">
        <v>430</v>
      </c>
      <c r="F66" s="14"/>
    </row>
    <row r="67" customFormat="false" ht="15" hidden="false" customHeight="false" outlineLevel="0" collapsed="false">
      <c r="A67" s="11" t="s">
        <v>74</v>
      </c>
      <c r="B67" s="11" t="s">
        <v>602</v>
      </c>
      <c r="C67" s="11" t="s">
        <v>603</v>
      </c>
      <c r="D67" s="11" t="s">
        <v>604</v>
      </c>
      <c r="E67" s="11" t="s">
        <v>539</v>
      </c>
      <c r="F67" s="11" t="s">
        <v>605</v>
      </c>
    </row>
    <row r="68" customFormat="false" ht="15" hidden="false" customHeight="false" outlineLevel="0" collapsed="false">
      <c r="A68" s="14" t="s">
        <v>74</v>
      </c>
      <c r="B68" s="14" t="s">
        <v>602</v>
      </c>
      <c r="C68" s="14" t="s">
        <v>606</v>
      </c>
      <c r="D68" s="14" t="s">
        <v>607</v>
      </c>
      <c r="E68" s="14" t="s">
        <v>566</v>
      </c>
      <c r="F68" s="14" t="s">
        <v>605</v>
      </c>
    </row>
    <row r="69" customFormat="false" ht="15" hidden="false" customHeight="false" outlineLevel="0" collapsed="false">
      <c r="A69" s="11" t="s">
        <v>74</v>
      </c>
      <c r="B69" s="11" t="s">
        <v>602</v>
      </c>
      <c r="C69" s="11" t="s">
        <v>608</v>
      </c>
      <c r="D69" s="11" t="s">
        <v>599</v>
      </c>
      <c r="E69" s="11" t="s">
        <v>586</v>
      </c>
      <c r="F69" s="11" t="s">
        <v>609</v>
      </c>
    </row>
    <row r="70" customFormat="false" ht="15" hidden="false" customHeight="false" outlineLevel="0" collapsed="false">
      <c r="A70" s="14" t="s">
        <v>74</v>
      </c>
      <c r="B70" s="14" t="s">
        <v>610</v>
      </c>
      <c r="C70" s="14" t="s">
        <v>611</v>
      </c>
      <c r="D70" s="14" t="s">
        <v>612</v>
      </c>
      <c r="E70" s="14" t="s">
        <v>515</v>
      </c>
      <c r="F70" s="14"/>
    </row>
    <row r="71" customFormat="false" ht="15" hidden="false" customHeight="false" outlineLevel="0" collapsed="false">
      <c r="A71" s="11" t="s">
        <v>74</v>
      </c>
      <c r="B71" s="11" t="s">
        <v>610</v>
      </c>
      <c r="C71" s="11" t="s">
        <v>613</v>
      </c>
      <c r="D71" s="11" t="s">
        <v>614</v>
      </c>
      <c r="E71" s="11" t="s">
        <v>515</v>
      </c>
      <c r="F71" s="11"/>
    </row>
    <row r="72" customFormat="false" ht="15" hidden="false" customHeight="false" outlineLevel="0" collapsed="false">
      <c r="A72" s="14" t="s">
        <v>74</v>
      </c>
      <c r="B72" s="14" t="s">
        <v>615</v>
      </c>
      <c r="C72" s="14" t="s">
        <v>616</v>
      </c>
      <c r="D72" s="14" t="s">
        <v>518</v>
      </c>
      <c r="E72" s="14" t="s">
        <v>445</v>
      </c>
      <c r="F72" s="14"/>
    </row>
    <row r="73" customFormat="false" ht="15" hidden="false" customHeight="false" outlineLevel="0" collapsed="false">
      <c r="A73" s="11" t="s">
        <v>74</v>
      </c>
      <c r="B73" s="11" t="s">
        <v>617</v>
      </c>
      <c r="C73" s="11" t="s">
        <v>618</v>
      </c>
      <c r="D73" s="11" t="s">
        <v>619</v>
      </c>
      <c r="E73" s="11" t="s">
        <v>620</v>
      </c>
      <c r="F73" s="11"/>
    </row>
    <row r="74" customFormat="false" ht="15" hidden="false" customHeight="false" outlineLevel="0" collapsed="false">
      <c r="A74" s="14" t="s">
        <v>74</v>
      </c>
      <c r="B74" s="14" t="s">
        <v>621</v>
      </c>
      <c r="C74" s="14" t="s">
        <v>622</v>
      </c>
      <c r="D74" s="14" t="s">
        <v>83</v>
      </c>
      <c r="E74" s="14" t="s">
        <v>623</v>
      </c>
      <c r="F74" s="14"/>
    </row>
    <row r="75" customFormat="false" ht="15" hidden="false" customHeight="false" outlineLevel="0" collapsed="false">
      <c r="A75" s="11" t="s">
        <v>79</v>
      </c>
      <c r="B75" s="11" t="s">
        <v>624</v>
      </c>
      <c r="C75" s="11" t="s">
        <v>625</v>
      </c>
      <c r="D75" s="11" t="s">
        <v>626</v>
      </c>
      <c r="E75" s="11" t="s">
        <v>559</v>
      </c>
      <c r="F75" s="11"/>
    </row>
    <row r="76" customFormat="false" ht="15" hidden="false" customHeight="false" outlineLevel="0" collapsed="false">
      <c r="A76" s="14" t="s">
        <v>79</v>
      </c>
      <c r="B76" s="14" t="s">
        <v>624</v>
      </c>
      <c r="C76" s="14" t="s">
        <v>627</v>
      </c>
      <c r="D76" s="14" t="s">
        <v>628</v>
      </c>
      <c r="E76" s="14" t="s">
        <v>559</v>
      </c>
      <c r="F76" s="14"/>
    </row>
    <row r="77" customFormat="false" ht="15" hidden="false" customHeight="false" outlineLevel="0" collapsed="false">
      <c r="A77" s="11" t="s">
        <v>79</v>
      </c>
      <c r="B77" s="11" t="s">
        <v>629</v>
      </c>
      <c r="C77" s="11" t="s">
        <v>630</v>
      </c>
      <c r="D77" s="11" t="s">
        <v>631</v>
      </c>
      <c r="E77" s="11" t="s">
        <v>415</v>
      </c>
      <c r="F77" s="11" t="s">
        <v>632</v>
      </c>
    </row>
    <row r="78" customFormat="false" ht="15" hidden="false" customHeight="false" outlineLevel="0" collapsed="false">
      <c r="A78" s="14" t="s">
        <v>79</v>
      </c>
      <c r="B78" s="14" t="s">
        <v>629</v>
      </c>
      <c r="C78" s="14" t="s">
        <v>633</v>
      </c>
      <c r="D78" s="14" t="s">
        <v>437</v>
      </c>
      <c r="E78" s="14" t="s">
        <v>566</v>
      </c>
      <c r="F78" s="14"/>
    </row>
    <row r="79" customFormat="false" ht="15" hidden="false" customHeight="false" outlineLevel="0" collapsed="false">
      <c r="A79" s="11" t="s">
        <v>79</v>
      </c>
      <c r="B79" s="11" t="s">
        <v>634</v>
      </c>
      <c r="C79" s="11" t="s">
        <v>635</v>
      </c>
      <c r="D79" s="11" t="s">
        <v>425</v>
      </c>
      <c r="E79" s="11" t="s">
        <v>418</v>
      </c>
      <c r="F79" s="11"/>
    </row>
    <row r="80" customFormat="false" ht="15" hidden="false" customHeight="false" outlineLevel="0" collapsed="false">
      <c r="A80" s="14" t="s">
        <v>79</v>
      </c>
      <c r="B80" s="14" t="s">
        <v>636</v>
      </c>
      <c r="C80" s="14" t="s">
        <v>565</v>
      </c>
      <c r="D80" s="14" t="s">
        <v>437</v>
      </c>
      <c r="E80" s="14" t="s">
        <v>566</v>
      </c>
      <c r="F80" s="14" t="s">
        <v>637</v>
      </c>
    </row>
    <row r="81" customFormat="false" ht="15" hidden="false" customHeight="false" outlineLevel="0" collapsed="false">
      <c r="A81" s="11" t="s">
        <v>79</v>
      </c>
      <c r="B81" s="11" t="s">
        <v>638</v>
      </c>
      <c r="C81" s="11" t="s">
        <v>639</v>
      </c>
      <c r="D81" s="11" t="s">
        <v>640</v>
      </c>
      <c r="E81" s="11" t="s">
        <v>418</v>
      </c>
      <c r="F81" s="11" t="s">
        <v>641</v>
      </c>
    </row>
    <row r="82" customFormat="false" ht="15" hidden="false" customHeight="false" outlineLevel="0" collapsed="false">
      <c r="A82" s="14" t="s">
        <v>79</v>
      </c>
      <c r="B82" s="14" t="s">
        <v>642</v>
      </c>
      <c r="C82" s="14" t="s">
        <v>639</v>
      </c>
      <c r="D82" s="14" t="s">
        <v>607</v>
      </c>
      <c r="E82" s="14" t="s">
        <v>418</v>
      </c>
      <c r="F82" s="14" t="s">
        <v>643</v>
      </c>
    </row>
    <row r="83" customFormat="false" ht="15" hidden="false" customHeight="false" outlineLevel="0" collapsed="false">
      <c r="A83" s="11" t="s">
        <v>79</v>
      </c>
      <c r="B83" s="11" t="s">
        <v>644</v>
      </c>
      <c r="C83" s="11" t="s">
        <v>639</v>
      </c>
      <c r="D83" s="11" t="s">
        <v>645</v>
      </c>
      <c r="E83" s="11" t="s">
        <v>418</v>
      </c>
      <c r="F83" s="11" t="s">
        <v>646</v>
      </c>
    </row>
    <row r="84" customFormat="false" ht="15" hidden="false" customHeight="false" outlineLevel="0" collapsed="false">
      <c r="A84" s="14" t="s">
        <v>79</v>
      </c>
      <c r="B84" s="14" t="s">
        <v>647</v>
      </c>
      <c r="C84" s="14" t="s">
        <v>648</v>
      </c>
      <c r="D84" s="14" t="s">
        <v>649</v>
      </c>
      <c r="E84" s="14" t="s">
        <v>418</v>
      </c>
      <c r="F84" s="14" t="s">
        <v>650</v>
      </c>
    </row>
    <row r="85" customFormat="false" ht="15" hidden="false" customHeight="false" outlineLevel="0" collapsed="false">
      <c r="A85" s="11" t="s">
        <v>79</v>
      </c>
      <c r="B85" s="11" t="s">
        <v>651</v>
      </c>
      <c r="C85" s="11" t="s">
        <v>652</v>
      </c>
      <c r="D85" s="11" t="s">
        <v>86</v>
      </c>
      <c r="E85" s="11" t="s">
        <v>415</v>
      </c>
      <c r="F85" s="11" t="s">
        <v>653</v>
      </c>
    </row>
    <row r="86" customFormat="false" ht="15" hidden="false" customHeight="false" outlineLevel="0" collapsed="false">
      <c r="A86" s="14" t="s">
        <v>81</v>
      </c>
      <c r="B86" s="14" t="s">
        <v>654</v>
      </c>
      <c r="C86" s="14" t="s">
        <v>655</v>
      </c>
      <c r="D86" s="14" t="s">
        <v>83</v>
      </c>
      <c r="E86" s="14" t="s">
        <v>430</v>
      </c>
      <c r="F86" s="14"/>
    </row>
    <row r="87" customFormat="false" ht="15" hidden="false" customHeight="false" outlineLevel="0" collapsed="false">
      <c r="A87" s="11" t="s">
        <v>81</v>
      </c>
      <c r="B87" s="11" t="s">
        <v>656</v>
      </c>
      <c r="C87" s="11" t="s">
        <v>657</v>
      </c>
      <c r="D87" s="11" t="s">
        <v>425</v>
      </c>
      <c r="E87" s="11" t="s">
        <v>658</v>
      </c>
      <c r="F87" s="11" t="s">
        <v>659</v>
      </c>
    </row>
    <row r="88" customFormat="false" ht="15" hidden="false" customHeight="false" outlineLevel="0" collapsed="false">
      <c r="A88" s="14" t="s">
        <v>81</v>
      </c>
      <c r="B88" s="14" t="s">
        <v>660</v>
      </c>
      <c r="C88" s="14" t="s">
        <v>661</v>
      </c>
      <c r="D88" s="14" t="s">
        <v>662</v>
      </c>
      <c r="E88" s="14" t="s">
        <v>663</v>
      </c>
      <c r="F88" s="14"/>
    </row>
    <row r="89" customFormat="false" ht="15" hidden="false" customHeight="false" outlineLevel="0" collapsed="false">
      <c r="A89" s="11" t="s">
        <v>81</v>
      </c>
      <c r="B89" s="11" t="s">
        <v>664</v>
      </c>
      <c r="C89" s="11" t="s">
        <v>665</v>
      </c>
      <c r="D89" s="11" t="s">
        <v>86</v>
      </c>
      <c r="E89" s="11" t="s">
        <v>623</v>
      </c>
      <c r="F89" s="11"/>
    </row>
    <row r="90" customFormat="false" ht="15" hidden="false" customHeight="false" outlineLevel="0" collapsed="false">
      <c r="A90" s="14" t="s">
        <v>81</v>
      </c>
      <c r="B90" s="14" t="s">
        <v>666</v>
      </c>
      <c r="C90" s="14" t="s">
        <v>667</v>
      </c>
      <c r="D90" s="14" t="s">
        <v>414</v>
      </c>
      <c r="E90" s="14" t="s">
        <v>415</v>
      </c>
      <c r="F90" s="14" t="s">
        <v>668</v>
      </c>
    </row>
    <row r="91" customFormat="false" ht="15" hidden="false" customHeight="false" outlineLevel="0" collapsed="false">
      <c r="A91" s="11" t="s">
        <v>81</v>
      </c>
      <c r="B91" s="11" t="s">
        <v>669</v>
      </c>
      <c r="C91" s="11" t="s">
        <v>670</v>
      </c>
      <c r="D91" s="11" t="s">
        <v>437</v>
      </c>
      <c r="E91" s="11" t="s">
        <v>671</v>
      </c>
      <c r="F91" s="11" t="s">
        <v>672</v>
      </c>
    </row>
    <row r="92" customFormat="false" ht="23.85" hidden="false" customHeight="false" outlineLevel="0" collapsed="false">
      <c r="A92" s="14" t="s">
        <v>85</v>
      </c>
      <c r="B92" s="14" t="s">
        <v>673</v>
      </c>
      <c r="C92" s="14" t="s">
        <v>674</v>
      </c>
      <c r="D92" s="14" t="s">
        <v>425</v>
      </c>
      <c r="E92" s="14" t="s">
        <v>415</v>
      </c>
      <c r="F92" s="14" t="s">
        <v>675</v>
      </c>
    </row>
    <row r="93" customFormat="false" ht="23.85" hidden="false" customHeight="false" outlineLevel="0" collapsed="false">
      <c r="A93" s="11" t="s">
        <v>85</v>
      </c>
      <c r="B93" s="11" t="s">
        <v>676</v>
      </c>
      <c r="C93" s="11" t="s">
        <v>677</v>
      </c>
      <c r="D93" s="11" t="s">
        <v>414</v>
      </c>
      <c r="E93" s="11" t="s">
        <v>415</v>
      </c>
      <c r="F93" s="11" t="s">
        <v>678</v>
      </c>
    </row>
    <row r="94" customFormat="false" ht="23.85" hidden="false" customHeight="false" outlineLevel="0" collapsed="false">
      <c r="A94" s="14" t="s">
        <v>85</v>
      </c>
      <c r="B94" s="14" t="s">
        <v>33</v>
      </c>
      <c r="C94" s="14" t="s">
        <v>679</v>
      </c>
      <c r="D94" s="14" t="s">
        <v>86</v>
      </c>
      <c r="E94" s="14" t="s">
        <v>430</v>
      </c>
      <c r="F94" s="14"/>
    </row>
    <row r="95" customFormat="false" ht="23.85" hidden="false" customHeight="false" outlineLevel="0" collapsed="false">
      <c r="A95" s="11" t="s">
        <v>90</v>
      </c>
      <c r="B95" s="11" t="s">
        <v>680</v>
      </c>
      <c r="C95" s="11" t="s">
        <v>681</v>
      </c>
      <c r="D95" s="11" t="s">
        <v>425</v>
      </c>
      <c r="E95" s="11" t="s">
        <v>418</v>
      </c>
      <c r="F95" s="11"/>
    </row>
    <row r="96" customFormat="false" ht="23.85" hidden="false" customHeight="false" outlineLevel="0" collapsed="false">
      <c r="A96" s="14" t="s">
        <v>90</v>
      </c>
      <c r="B96" s="14" t="s">
        <v>682</v>
      </c>
      <c r="C96" s="14" t="s">
        <v>683</v>
      </c>
      <c r="D96" s="14" t="s">
        <v>86</v>
      </c>
      <c r="E96" s="14" t="s">
        <v>430</v>
      </c>
      <c r="F96" s="14" t="s">
        <v>684</v>
      </c>
    </row>
    <row r="97" customFormat="false" ht="23.85" hidden="false" customHeight="false" outlineLevel="0" collapsed="false">
      <c r="A97" s="11" t="s">
        <v>90</v>
      </c>
      <c r="B97" s="11" t="s">
        <v>685</v>
      </c>
      <c r="C97" s="11" t="s">
        <v>686</v>
      </c>
      <c r="D97" s="11" t="s">
        <v>425</v>
      </c>
      <c r="E97" s="11" t="s">
        <v>415</v>
      </c>
      <c r="F97" s="11"/>
    </row>
    <row r="98" customFormat="false" ht="23.85" hidden="false" customHeight="false" outlineLevel="0" collapsed="false">
      <c r="A98" s="14" t="s">
        <v>90</v>
      </c>
      <c r="B98" s="14" t="s">
        <v>687</v>
      </c>
      <c r="C98" s="14" t="s">
        <v>688</v>
      </c>
      <c r="D98" s="14" t="s">
        <v>689</v>
      </c>
      <c r="E98" s="14" t="s">
        <v>445</v>
      </c>
      <c r="F98" s="14"/>
    </row>
    <row r="99" customFormat="false" ht="23.85" hidden="false" customHeight="false" outlineLevel="0" collapsed="false">
      <c r="A99" s="11" t="s">
        <v>90</v>
      </c>
      <c r="B99" s="11" t="s">
        <v>690</v>
      </c>
      <c r="C99" s="11" t="s">
        <v>691</v>
      </c>
      <c r="D99" s="11" t="s">
        <v>689</v>
      </c>
      <c r="E99" s="11" t="s">
        <v>445</v>
      </c>
      <c r="F99" s="11"/>
    </row>
    <row r="100" customFormat="false" ht="23.85" hidden="false" customHeight="false" outlineLevel="0" collapsed="false">
      <c r="A100" s="14" t="s">
        <v>90</v>
      </c>
      <c r="B100" s="14" t="s">
        <v>692</v>
      </c>
      <c r="C100" s="14" t="s">
        <v>674</v>
      </c>
      <c r="D100" s="14" t="s">
        <v>640</v>
      </c>
      <c r="E100" s="14" t="s">
        <v>415</v>
      </c>
      <c r="F100" s="14"/>
    </row>
    <row r="101" customFormat="false" ht="15" hidden="false" customHeight="false" outlineLevel="0" collapsed="false">
      <c r="A101" s="11" t="s">
        <v>61</v>
      </c>
      <c r="B101" s="11" t="s">
        <v>654</v>
      </c>
      <c r="C101" s="11" t="s">
        <v>693</v>
      </c>
      <c r="D101" s="11" t="s">
        <v>62</v>
      </c>
      <c r="E101" s="11" t="s">
        <v>430</v>
      </c>
      <c r="F101" s="11"/>
    </row>
    <row r="102" customFormat="false" ht="15" hidden="false" customHeight="false" outlineLevel="0" collapsed="false">
      <c r="A102" s="14" t="s">
        <v>61</v>
      </c>
      <c r="B102" s="14" t="s">
        <v>694</v>
      </c>
      <c r="C102" s="14" t="s">
        <v>695</v>
      </c>
      <c r="D102" s="14" t="s">
        <v>86</v>
      </c>
      <c r="E102" s="14" t="s">
        <v>415</v>
      </c>
      <c r="F102" s="14"/>
    </row>
    <row r="103" customFormat="false" ht="15" hidden="false" customHeight="false" outlineLevel="0" collapsed="false">
      <c r="A103" s="11" t="s">
        <v>61</v>
      </c>
      <c r="B103" s="11" t="s">
        <v>696</v>
      </c>
      <c r="C103" s="11" t="s">
        <v>697</v>
      </c>
      <c r="D103" s="11" t="s">
        <v>698</v>
      </c>
      <c r="E103" s="11" t="s">
        <v>559</v>
      </c>
      <c r="F103" s="11"/>
    </row>
    <row r="104" customFormat="false" ht="15" hidden="false" customHeight="false" outlineLevel="0" collapsed="false">
      <c r="A104" s="14" t="s">
        <v>61</v>
      </c>
      <c r="B104" s="14" t="s">
        <v>516</v>
      </c>
      <c r="C104" s="14" t="s">
        <v>699</v>
      </c>
      <c r="D104" s="14" t="s">
        <v>86</v>
      </c>
      <c r="E104" s="14" t="s">
        <v>521</v>
      </c>
      <c r="F104" s="14"/>
    </row>
    <row r="105" customFormat="false" ht="15" hidden="false" customHeight="false" outlineLevel="0" collapsed="false">
      <c r="A105" s="11" t="s">
        <v>61</v>
      </c>
      <c r="B105" s="11" t="s">
        <v>516</v>
      </c>
      <c r="C105" s="11" t="s">
        <v>700</v>
      </c>
      <c r="D105" s="11" t="s">
        <v>518</v>
      </c>
      <c r="E105" s="11" t="s">
        <v>519</v>
      </c>
      <c r="F105" s="11"/>
    </row>
    <row r="106" customFormat="false" ht="15" hidden="false" customHeight="false" outlineLevel="0" collapsed="false">
      <c r="A106" s="14" t="s">
        <v>61</v>
      </c>
      <c r="B106" s="14" t="s">
        <v>516</v>
      </c>
      <c r="C106" s="14" t="s">
        <v>701</v>
      </c>
      <c r="D106" s="14" t="s">
        <v>437</v>
      </c>
      <c r="E106" s="14" t="s">
        <v>702</v>
      </c>
      <c r="F106" s="14"/>
    </row>
    <row r="107" customFormat="false" ht="15" hidden="false" customHeight="false" outlineLevel="0" collapsed="false">
      <c r="A107" s="11" t="s">
        <v>58</v>
      </c>
      <c r="B107" s="11" t="s">
        <v>703</v>
      </c>
      <c r="C107" s="11" t="s">
        <v>704</v>
      </c>
      <c r="D107" s="11" t="s">
        <v>607</v>
      </c>
      <c r="E107" s="11" t="s">
        <v>705</v>
      </c>
      <c r="F107" s="11"/>
    </row>
    <row r="108" customFormat="false" ht="15" hidden="false" customHeight="false" outlineLevel="0" collapsed="false">
      <c r="A108" s="14" t="s">
        <v>58</v>
      </c>
      <c r="B108" s="14" t="s">
        <v>706</v>
      </c>
      <c r="C108" s="14" t="s">
        <v>707</v>
      </c>
      <c r="D108" s="14" t="s">
        <v>708</v>
      </c>
      <c r="E108" s="14" t="s">
        <v>709</v>
      </c>
      <c r="F108" s="14"/>
    </row>
    <row r="109" customFormat="false" ht="15" hidden="false" customHeight="false" outlineLevel="0" collapsed="false">
      <c r="A109" s="11" t="s">
        <v>58</v>
      </c>
      <c r="B109" s="11" t="s">
        <v>710</v>
      </c>
      <c r="C109" s="11" t="s">
        <v>711</v>
      </c>
      <c r="D109" s="11" t="s">
        <v>62</v>
      </c>
      <c r="E109" s="11" t="s">
        <v>620</v>
      </c>
      <c r="F109" s="11"/>
    </row>
    <row r="110" customFormat="false" ht="15" hidden="false" customHeight="false" outlineLevel="0" collapsed="false">
      <c r="A110" s="14" t="s">
        <v>58</v>
      </c>
      <c r="B110" s="14" t="s">
        <v>712</v>
      </c>
      <c r="C110" s="14" t="s">
        <v>713</v>
      </c>
      <c r="D110" s="14" t="s">
        <v>444</v>
      </c>
      <c r="E110" s="14" t="s">
        <v>415</v>
      </c>
      <c r="F110" s="14"/>
    </row>
    <row r="111" customFormat="false" ht="15" hidden="false" customHeight="false" outlineLevel="0" collapsed="false">
      <c r="A111" s="11" t="s">
        <v>58</v>
      </c>
      <c r="B111" s="11" t="s">
        <v>714</v>
      </c>
      <c r="C111" s="11" t="s">
        <v>715</v>
      </c>
      <c r="D111" s="11" t="s">
        <v>62</v>
      </c>
      <c r="E111" s="11" t="s">
        <v>620</v>
      </c>
      <c r="F111" s="11"/>
    </row>
    <row r="112" customFormat="false" ht="15" hidden="false" customHeight="false" outlineLevel="0" collapsed="false">
      <c r="A112" s="14" t="s">
        <v>58</v>
      </c>
      <c r="B112" s="14" t="s">
        <v>716</v>
      </c>
      <c r="C112" s="14" t="s">
        <v>717</v>
      </c>
      <c r="D112" s="14" t="s">
        <v>607</v>
      </c>
      <c r="E112" s="14" t="s">
        <v>566</v>
      </c>
      <c r="F112" s="14"/>
    </row>
    <row r="113" customFormat="false" ht="15" hidden="false" customHeight="false" outlineLevel="0" collapsed="false">
      <c r="A113" s="11" t="s">
        <v>58</v>
      </c>
      <c r="B113" s="11" t="s">
        <v>718</v>
      </c>
      <c r="C113" s="11" t="s">
        <v>719</v>
      </c>
      <c r="D113" s="11" t="s">
        <v>720</v>
      </c>
      <c r="E113" s="11" t="s">
        <v>709</v>
      </c>
      <c r="F113" s="11" t="s">
        <v>721</v>
      </c>
    </row>
    <row r="114" customFormat="false" ht="15" hidden="false" customHeight="false" outlineLevel="0" collapsed="false">
      <c r="A114" s="14" t="s">
        <v>58</v>
      </c>
      <c r="B114" s="14" t="s">
        <v>722</v>
      </c>
      <c r="C114" s="14" t="s">
        <v>723</v>
      </c>
      <c r="D114" s="14" t="s">
        <v>631</v>
      </c>
      <c r="E114" s="14" t="s">
        <v>709</v>
      </c>
      <c r="F114" s="14"/>
    </row>
    <row r="115" customFormat="false" ht="15" hidden="false" customHeight="false" outlineLevel="0" collapsed="false">
      <c r="A115" s="11" t="s">
        <v>97</v>
      </c>
      <c r="B115" s="11" t="s">
        <v>724</v>
      </c>
      <c r="C115" s="11" t="s">
        <v>725</v>
      </c>
      <c r="D115" s="11" t="s">
        <v>726</v>
      </c>
      <c r="E115" s="11" t="s">
        <v>727</v>
      </c>
      <c r="F115" s="11"/>
    </row>
    <row r="116" customFormat="false" ht="15" hidden="false" customHeight="false" outlineLevel="0" collapsed="false">
      <c r="A116" s="14" t="s">
        <v>97</v>
      </c>
      <c r="B116" s="14" t="s">
        <v>728</v>
      </c>
      <c r="C116" s="14" t="s">
        <v>729</v>
      </c>
      <c r="D116" s="14" t="s">
        <v>730</v>
      </c>
      <c r="E116" s="14" t="s">
        <v>445</v>
      </c>
      <c r="F116" s="14" t="s">
        <v>731</v>
      </c>
    </row>
    <row r="117" customFormat="false" ht="15" hidden="false" customHeight="false" outlineLevel="0" collapsed="false">
      <c r="A117" s="11" t="s">
        <v>97</v>
      </c>
      <c r="B117" s="11" t="s">
        <v>732</v>
      </c>
      <c r="C117" s="11" t="s">
        <v>733</v>
      </c>
      <c r="D117" s="11" t="s">
        <v>62</v>
      </c>
      <c r="E117" s="11" t="s">
        <v>734</v>
      </c>
      <c r="F117" s="11" t="s">
        <v>735</v>
      </c>
    </row>
    <row r="118" customFormat="false" ht="15" hidden="false" customHeight="false" outlineLevel="0" collapsed="false">
      <c r="A118" s="14" t="s">
        <v>99</v>
      </c>
      <c r="B118" s="14" t="s">
        <v>736</v>
      </c>
      <c r="C118" s="14" t="s">
        <v>737</v>
      </c>
      <c r="D118" s="14" t="s">
        <v>475</v>
      </c>
      <c r="E118" s="14" t="s">
        <v>415</v>
      </c>
      <c r="F118" s="14"/>
    </row>
    <row r="119" customFormat="false" ht="15" hidden="false" customHeight="false" outlineLevel="0" collapsed="false">
      <c r="A119" s="11" t="s">
        <v>99</v>
      </c>
      <c r="B119" s="11" t="s">
        <v>701</v>
      </c>
      <c r="C119" s="11" t="s">
        <v>738</v>
      </c>
      <c r="D119" s="11" t="s">
        <v>739</v>
      </c>
      <c r="E119" s="11" t="s">
        <v>566</v>
      </c>
      <c r="F119" s="11"/>
    </row>
    <row r="120" customFormat="false" ht="15" hidden="false" customHeight="false" outlineLevel="0" collapsed="false">
      <c r="A120" s="14" t="s">
        <v>99</v>
      </c>
      <c r="B120" s="14" t="s">
        <v>701</v>
      </c>
      <c r="C120" s="14" t="s">
        <v>740</v>
      </c>
      <c r="D120" s="14" t="s">
        <v>542</v>
      </c>
      <c r="E120" s="14" t="s">
        <v>566</v>
      </c>
      <c r="F120" s="14"/>
    </row>
    <row r="121" customFormat="false" ht="15" hidden="false" customHeight="false" outlineLevel="0" collapsed="false">
      <c r="A121" s="11" t="s">
        <v>99</v>
      </c>
      <c r="B121" s="11" t="s">
        <v>701</v>
      </c>
      <c r="C121" s="11" t="s">
        <v>741</v>
      </c>
      <c r="D121" s="11" t="s">
        <v>607</v>
      </c>
      <c r="E121" s="11" t="s">
        <v>566</v>
      </c>
      <c r="F121" s="11"/>
    </row>
    <row r="122" customFormat="false" ht="15" hidden="false" customHeight="false" outlineLevel="0" collapsed="false">
      <c r="A122" s="14" t="s">
        <v>99</v>
      </c>
      <c r="B122" s="14" t="s">
        <v>701</v>
      </c>
      <c r="C122" s="14" t="s">
        <v>742</v>
      </c>
      <c r="D122" s="14" t="s">
        <v>444</v>
      </c>
      <c r="E122" s="14" t="s">
        <v>566</v>
      </c>
      <c r="F122" s="14"/>
    </row>
    <row r="123" customFormat="false" ht="15" hidden="false" customHeight="false" outlineLevel="0" collapsed="false">
      <c r="A123" s="11" t="s">
        <v>99</v>
      </c>
      <c r="B123" s="11" t="s">
        <v>743</v>
      </c>
      <c r="C123" s="11" t="s">
        <v>744</v>
      </c>
      <c r="D123" s="11" t="s">
        <v>414</v>
      </c>
      <c r="E123" s="11" t="s">
        <v>745</v>
      </c>
      <c r="F123" s="11"/>
    </row>
    <row r="124" customFormat="false" ht="15" hidden="false" customHeight="false" outlineLevel="0" collapsed="false">
      <c r="A124" s="14" t="s">
        <v>101</v>
      </c>
      <c r="B124" s="14" t="s">
        <v>746</v>
      </c>
      <c r="C124" s="14" t="s">
        <v>747</v>
      </c>
      <c r="D124" s="14" t="s">
        <v>555</v>
      </c>
      <c r="E124" s="14" t="s">
        <v>445</v>
      </c>
      <c r="F124" s="14" t="s">
        <v>748</v>
      </c>
    </row>
    <row r="125" customFormat="false" ht="15" hidden="false" customHeight="false" outlineLevel="0" collapsed="false">
      <c r="A125" s="11" t="s">
        <v>101</v>
      </c>
      <c r="B125" s="11" t="s">
        <v>749</v>
      </c>
      <c r="C125" s="11" t="s">
        <v>747</v>
      </c>
      <c r="D125" s="11" t="s">
        <v>512</v>
      </c>
      <c r="E125" s="11" t="s">
        <v>445</v>
      </c>
      <c r="F125" s="11"/>
    </row>
    <row r="126" customFormat="false" ht="15" hidden="false" customHeight="false" outlineLevel="0" collapsed="false">
      <c r="A126" s="14" t="s">
        <v>101</v>
      </c>
      <c r="B126" s="14" t="s">
        <v>749</v>
      </c>
      <c r="C126" s="14" t="s">
        <v>478</v>
      </c>
      <c r="D126" s="14" t="s">
        <v>514</v>
      </c>
      <c r="E126" s="14" t="s">
        <v>515</v>
      </c>
      <c r="F126" s="14"/>
    </row>
    <row r="127" customFormat="false" ht="15" hidden="false" customHeight="false" outlineLevel="0" collapsed="false">
      <c r="A127" s="11" t="s">
        <v>101</v>
      </c>
      <c r="B127" s="11" t="s">
        <v>750</v>
      </c>
      <c r="C127" s="11" t="s">
        <v>751</v>
      </c>
      <c r="D127" s="11" t="s">
        <v>752</v>
      </c>
      <c r="E127" s="11" t="s">
        <v>445</v>
      </c>
      <c r="F127" s="11"/>
    </row>
    <row r="128" customFormat="false" ht="15" hidden="false" customHeight="false" outlineLevel="0" collapsed="false">
      <c r="A128" s="14" t="s">
        <v>101</v>
      </c>
      <c r="B128" s="14" t="s">
        <v>750</v>
      </c>
      <c r="C128" s="14" t="s">
        <v>753</v>
      </c>
      <c r="D128" s="14" t="s">
        <v>698</v>
      </c>
      <c r="E128" s="14" t="s">
        <v>445</v>
      </c>
      <c r="F128" s="14"/>
    </row>
    <row r="129" customFormat="false" ht="15" hidden="false" customHeight="false" outlineLevel="0" collapsed="false">
      <c r="A129" s="11" t="s">
        <v>101</v>
      </c>
      <c r="B129" s="11" t="s">
        <v>750</v>
      </c>
      <c r="C129" s="11" t="s">
        <v>754</v>
      </c>
      <c r="D129" s="11" t="s">
        <v>755</v>
      </c>
      <c r="E129" s="11" t="s">
        <v>445</v>
      </c>
      <c r="F129" s="11"/>
    </row>
    <row r="130" customFormat="false" ht="15" hidden="false" customHeight="false" outlineLevel="0" collapsed="false">
      <c r="A130" s="14" t="s">
        <v>101</v>
      </c>
      <c r="B130" s="14" t="s">
        <v>750</v>
      </c>
      <c r="C130" s="14" t="s">
        <v>756</v>
      </c>
      <c r="D130" s="14" t="s">
        <v>757</v>
      </c>
      <c r="E130" s="14" t="s">
        <v>445</v>
      </c>
      <c r="F130" s="14"/>
    </row>
    <row r="131" customFormat="false" ht="15" hidden="false" customHeight="false" outlineLevel="0" collapsed="false">
      <c r="A131" s="11" t="s">
        <v>101</v>
      </c>
      <c r="B131" s="11" t="s">
        <v>750</v>
      </c>
      <c r="C131" s="11" t="s">
        <v>758</v>
      </c>
      <c r="D131" s="11" t="s">
        <v>759</v>
      </c>
      <c r="E131" s="11" t="s">
        <v>445</v>
      </c>
      <c r="F131" s="11"/>
    </row>
    <row r="132" customFormat="false" ht="15" hidden="false" customHeight="false" outlineLevel="0" collapsed="false">
      <c r="A132" s="14" t="s">
        <v>101</v>
      </c>
      <c r="B132" s="14" t="s">
        <v>760</v>
      </c>
      <c r="C132" s="14" t="s">
        <v>761</v>
      </c>
      <c r="D132" s="14" t="s">
        <v>762</v>
      </c>
      <c r="E132" s="14" t="s">
        <v>445</v>
      </c>
      <c r="F132" s="14"/>
    </row>
    <row r="133" customFormat="false" ht="23.85" hidden="false" customHeight="false" outlineLevel="0" collapsed="false">
      <c r="A133" s="11" t="s">
        <v>103</v>
      </c>
      <c r="B133" s="11" t="s">
        <v>763</v>
      </c>
      <c r="C133" s="11" t="s">
        <v>764</v>
      </c>
      <c r="D133" s="11" t="s">
        <v>86</v>
      </c>
      <c r="E133" s="11" t="s">
        <v>415</v>
      </c>
      <c r="F133" s="11"/>
    </row>
    <row r="134" customFormat="false" ht="23.85" hidden="false" customHeight="false" outlineLevel="0" collapsed="false">
      <c r="A134" s="14" t="s">
        <v>103</v>
      </c>
      <c r="B134" s="14" t="s">
        <v>763</v>
      </c>
      <c r="C134" s="14" t="s">
        <v>765</v>
      </c>
      <c r="D134" s="14" t="s">
        <v>689</v>
      </c>
      <c r="E134" s="14" t="s">
        <v>445</v>
      </c>
      <c r="F134" s="14"/>
    </row>
    <row r="135" customFormat="false" ht="23.85" hidden="false" customHeight="false" outlineLevel="0" collapsed="false">
      <c r="A135" s="11" t="s">
        <v>103</v>
      </c>
      <c r="B135" s="11" t="s">
        <v>763</v>
      </c>
      <c r="C135" s="11" t="s">
        <v>766</v>
      </c>
      <c r="D135" s="11" t="s">
        <v>437</v>
      </c>
      <c r="E135" s="11" t="s">
        <v>445</v>
      </c>
      <c r="F135" s="11"/>
    </row>
    <row r="136" customFormat="false" ht="23.85" hidden="false" customHeight="false" outlineLevel="0" collapsed="false">
      <c r="A136" s="14" t="s">
        <v>103</v>
      </c>
      <c r="B136" s="14" t="s">
        <v>763</v>
      </c>
      <c r="C136" s="14" t="s">
        <v>767</v>
      </c>
      <c r="D136" s="14" t="s">
        <v>518</v>
      </c>
      <c r="E136" s="14" t="s">
        <v>445</v>
      </c>
      <c r="F136" s="14"/>
    </row>
    <row r="137" customFormat="false" ht="23.85" hidden="false" customHeight="false" outlineLevel="0" collapsed="false">
      <c r="A137" s="11" t="s">
        <v>103</v>
      </c>
      <c r="B137" s="11" t="s">
        <v>763</v>
      </c>
      <c r="C137" s="11" t="s">
        <v>768</v>
      </c>
      <c r="D137" s="11" t="s">
        <v>75</v>
      </c>
      <c r="E137" s="11" t="s">
        <v>445</v>
      </c>
      <c r="F137" s="11"/>
    </row>
    <row r="138" customFormat="false" ht="23.85" hidden="false" customHeight="false" outlineLevel="0" collapsed="false">
      <c r="A138" s="14" t="s">
        <v>103</v>
      </c>
      <c r="B138" s="14" t="s">
        <v>763</v>
      </c>
      <c r="C138" s="14" t="s">
        <v>769</v>
      </c>
      <c r="D138" s="14" t="s">
        <v>698</v>
      </c>
      <c r="E138" s="14" t="s">
        <v>445</v>
      </c>
      <c r="F138" s="14"/>
    </row>
    <row r="139" customFormat="false" ht="23.85" hidden="false" customHeight="false" outlineLevel="0" collapsed="false">
      <c r="A139" s="11" t="s">
        <v>103</v>
      </c>
      <c r="B139" s="11" t="s">
        <v>770</v>
      </c>
      <c r="C139" s="11" t="s">
        <v>771</v>
      </c>
      <c r="D139" s="11" t="s">
        <v>772</v>
      </c>
      <c r="E139" s="11" t="s">
        <v>41</v>
      </c>
      <c r="F139" s="11"/>
    </row>
    <row r="140" customFormat="false" ht="23.85" hidden="false" customHeight="false" outlineLevel="0" collapsed="false">
      <c r="A140" s="14" t="s">
        <v>103</v>
      </c>
      <c r="B140" s="14" t="s">
        <v>770</v>
      </c>
      <c r="C140" s="14" t="s">
        <v>773</v>
      </c>
      <c r="D140" s="14" t="s">
        <v>774</v>
      </c>
      <c r="E140" s="14" t="s">
        <v>775</v>
      </c>
      <c r="F140" s="14" t="s">
        <v>776</v>
      </c>
    </row>
    <row r="141" customFormat="false" ht="23.85" hidden="false" customHeight="false" outlineLevel="0" collapsed="false">
      <c r="A141" s="11" t="s">
        <v>103</v>
      </c>
      <c r="B141" s="11" t="s">
        <v>777</v>
      </c>
      <c r="C141" s="11" t="s">
        <v>778</v>
      </c>
      <c r="D141" s="11" t="s">
        <v>779</v>
      </c>
      <c r="E141" s="11" t="s">
        <v>499</v>
      </c>
      <c r="F141" s="11"/>
    </row>
    <row r="142" customFormat="false" ht="23.85" hidden="false" customHeight="false" outlineLevel="0" collapsed="false">
      <c r="A142" s="14" t="s">
        <v>103</v>
      </c>
      <c r="B142" s="14" t="s">
        <v>777</v>
      </c>
      <c r="C142" s="14" t="s">
        <v>780</v>
      </c>
      <c r="D142" s="14" t="s">
        <v>781</v>
      </c>
      <c r="E142" s="14" t="s">
        <v>499</v>
      </c>
      <c r="F142" s="14" t="s">
        <v>782</v>
      </c>
    </row>
    <row r="143" customFormat="false" ht="23.85" hidden="false" customHeight="false" outlineLevel="0" collapsed="false">
      <c r="A143" s="11" t="s">
        <v>103</v>
      </c>
      <c r="B143" s="11" t="s">
        <v>783</v>
      </c>
      <c r="C143" s="11" t="s">
        <v>784</v>
      </c>
      <c r="D143" s="11" t="s">
        <v>649</v>
      </c>
      <c r="E143" s="11" t="s">
        <v>445</v>
      </c>
      <c r="F143" s="11"/>
    </row>
    <row r="144" customFormat="false" ht="23.85" hidden="false" customHeight="false" outlineLevel="0" collapsed="false">
      <c r="A144" s="14" t="s">
        <v>103</v>
      </c>
      <c r="B144" s="14" t="s">
        <v>785</v>
      </c>
      <c r="C144" s="14" t="s">
        <v>786</v>
      </c>
      <c r="D144" s="14" t="s">
        <v>532</v>
      </c>
      <c r="E144" s="14" t="s">
        <v>445</v>
      </c>
      <c r="F144" s="14"/>
    </row>
    <row r="145" customFormat="false" ht="23.85" hidden="false" customHeight="false" outlineLevel="0" collapsed="false">
      <c r="A145" s="11" t="s">
        <v>103</v>
      </c>
      <c r="B145" s="11" t="s">
        <v>787</v>
      </c>
      <c r="C145" s="11" t="s">
        <v>784</v>
      </c>
      <c r="D145" s="11" t="s">
        <v>532</v>
      </c>
      <c r="E145" s="11" t="s">
        <v>445</v>
      </c>
      <c r="F145" s="11"/>
    </row>
    <row r="146" customFormat="false" ht="23.85" hidden="false" customHeight="false" outlineLevel="0" collapsed="false">
      <c r="A146" s="14" t="s">
        <v>103</v>
      </c>
      <c r="B146" s="14" t="s">
        <v>787</v>
      </c>
      <c r="C146" s="14" t="s">
        <v>788</v>
      </c>
      <c r="D146" s="14" t="s">
        <v>614</v>
      </c>
      <c r="E146" s="14" t="s">
        <v>445</v>
      </c>
      <c r="F146" s="14"/>
    </row>
    <row r="147" customFormat="false" ht="23.85" hidden="false" customHeight="false" outlineLevel="0" collapsed="false">
      <c r="A147" s="11" t="s">
        <v>105</v>
      </c>
      <c r="B147" s="11" t="s">
        <v>789</v>
      </c>
      <c r="C147" s="11" t="s">
        <v>790</v>
      </c>
      <c r="D147" s="11" t="s">
        <v>425</v>
      </c>
      <c r="E147" s="11" t="s">
        <v>415</v>
      </c>
      <c r="F147" s="11" t="s">
        <v>791</v>
      </c>
    </row>
    <row r="148" customFormat="false" ht="23.85" hidden="false" customHeight="false" outlineLevel="0" collapsed="false">
      <c r="A148" s="14" t="s">
        <v>105</v>
      </c>
      <c r="B148" s="14" t="s">
        <v>792</v>
      </c>
      <c r="C148" s="14" t="s">
        <v>793</v>
      </c>
      <c r="D148" s="14" t="s">
        <v>794</v>
      </c>
      <c r="E148" s="14" t="s">
        <v>795</v>
      </c>
      <c r="F148" s="14"/>
    </row>
    <row r="149" customFormat="false" ht="23.85" hidden="false" customHeight="false" outlineLevel="0" collapsed="false">
      <c r="A149" s="11" t="s">
        <v>105</v>
      </c>
      <c r="B149" s="11" t="s">
        <v>796</v>
      </c>
      <c r="C149" s="11" t="s">
        <v>797</v>
      </c>
      <c r="D149" s="11" t="s">
        <v>698</v>
      </c>
      <c r="E149" s="11" t="s">
        <v>438</v>
      </c>
      <c r="F149" s="11"/>
    </row>
    <row r="150" customFormat="false" ht="23.85" hidden="false" customHeight="false" outlineLevel="0" collapsed="false">
      <c r="A150" s="14" t="s">
        <v>105</v>
      </c>
      <c r="B150" s="14" t="s">
        <v>798</v>
      </c>
      <c r="C150" s="14" t="s">
        <v>799</v>
      </c>
      <c r="D150" s="14" t="s">
        <v>550</v>
      </c>
      <c r="E150" s="14" t="s">
        <v>551</v>
      </c>
      <c r="F150" s="14"/>
    </row>
    <row r="151" customFormat="false" ht="23.85" hidden="false" customHeight="false" outlineLevel="0" collapsed="false">
      <c r="A151" s="11" t="s">
        <v>105</v>
      </c>
      <c r="B151" s="11" t="s">
        <v>800</v>
      </c>
      <c r="C151" s="11" t="s">
        <v>801</v>
      </c>
      <c r="D151" s="11" t="s">
        <v>802</v>
      </c>
      <c r="E151" s="11" t="s">
        <v>803</v>
      </c>
      <c r="F151" s="11" t="s">
        <v>804</v>
      </c>
    </row>
    <row r="152" customFormat="false" ht="23.85" hidden="false" customHeight="false" outlineLevel="0" collapsed="false">
      <c r="A152" s="14" t="s">
        <v>105</v>
      </c>
      <c r="B152" s="14" t="s">
        <v>800</v>
      </c>
      <c r="C152" s="14" t="s">
        <v>805</v>
      </c>
      <c r="D152" s="14" t="s">
        <v>806</v>
      </c>
      <c r="E152" s="14" t="s">
        <v>803</v>
      </c>
      <c r="F152" s="14" t="s">
        <v>804</v>
      </c>
    </row>
    <row r="153" customFormat="false" ht="23.85" hidden="false" customHeight="false" outlineLevel="0" collapsed="false">
      <c r="A153" s="11" t="s">
        <v>105</v>
      </c>
      <c r="B153" s="11" t="s">
        <v>807</v>
      </c>
      <c r="C153" s="11" t="s">
        <v>808</v>
      </c>
      <c r="D153" s="11" t="s">
        <v>755</v>
      </c>
      <c r="E153" s="11" t="s">
        <v>415</v>
      </c>
      <c r="F153" s="11" t="s">
        <v>809</v>
      </c>
    </row>
    <row r="154" customFormat="false" ht="23.85" hidden="false" customHeight="false" outlineLevel="0" collapsed="false">
      <c r="A154" s="14" t="s">
        <v>105</v>
      </c>
      <c r="B154" s="14" t="s">
        <v>701</v>
      </c>
      <c r="C154" s="14" t="s">
        <v>738</v>
      </c>
      <c r="D154" s="14" t="s">
        <v>810</v>
      </c>
      <c r="E154" s="14" t="s">
        <v>41</v>
      </c>
      <c r="F154" s="14"/>
    </row>
    <row r="155" customFormat="false" ht="23.85" hidden="false" customHeight="false" outlineLevel="0" collapsed="false">
      <c r="A155" s="11" t="s">
        <v>105</v>
      </c>
      <c r="B155" s="11" t="s">
        <v>701</v>
      </c>
      <c r="C155" s="11" t="s">
        <v>811</v>
      </c>
      <c r="D155" s="11" t="s">
        <v>812</v>
      </c>
      <c r="E155" s="11" t="s">
        <v>41</v>
      </c>
      <c r="F155" s="11"/>
    </row>
    <row r="156" customFormat="false" ht="23.85" hidden="false" customHeight="false" outlineLevel="0" collapsed="false">
      <c r="A156" s="14" t="s">
        <v>105</v>
      </c>
      <c r="B156" s="14" t="s">
        <v>701</v>
      </c>
      <c r="C156" s="14" t="s">
        <v>813</v>
      </c>
      <c r="D156" s="14" t="s">
        <v>814</v>
      </c>
      <c r="E156" s="14" t="s">
        <v>41</v>
      </c>
      <c r="F156" s="14"/>
    </row>
    <row r="157" customFormat="false" ht="23.85" hidden="false" customHeight="false" outlineLevel="0" collapsed="false">
      <c r="A157" s="11" t="s">
        <v>105</v>
      </c>
      <c r="B157" s="11" t="s">
        <v>701</v>
      </c>
      <c r="C157" s="11" t="s">
        <v>815</v>
      </c>
      <c r="D157" s="11" t="s">
        <v>816</v>
      </c>
      <c r="E157" s="11" t="s">
        <v>41</v>
      </c>
      <c r="F157" s="11"/>
    </row>
    <row r="158" customFormat="false" ht="15" hidden="false" customHeight="false" outlineLevel="0" collapsed="false">
      <c r="A158" s="14" t="s">
        <v>94</v>
      </c>
      <c r="B158" s="14" t="s">
        <v>817</v>
      </c>
      <c r="C158" s="14" t="s">
        <v>818</v>
      </c>
      <c r="D158" s="14" t="s">
        <v>819</v>
      </c>
      <c r="E158" s="14" t="s">
        <v>820</v>
      </c>
      <c r="F158" s="14"/>
    </row>
    <row r="159" customFormat="false" ht="15" hidden="false" customHeight="false" outlineLevel="0" collapsed="false">
      <c r="A159" s="11" t="s">
        <v>94</v>
      </c>
      <c r="B159" s="11" t="s">
        <v>821</v>
      </c>
      <c r="C159" s="11" t="s">
        <v>679</v>
      </c>
      <c r="D159" s="11" t="s">
        <v>86</v>
      </c>
      <c r="E159" s="11" t="s">
        <v>430</v>
      </c>
      <c r="F159" s="11"/>
    </row>
    <row r="160" customFormat="false" ht="15" hidden="false" customHeight="false" outlineLevel="0" collapsed="false">
      <c r="A160" s="14" t="s">
        <v>94</v>
      </c>
      <c r="B160" s="14" t="s">
        <v>821</v>
      </c>
      <c r="C160" s="14" t="s">
        <v>822</v>
      </c>
      <c r="D160" s="14" t="s">
        <v>62</v>
      </c>
      <c r="E160" s="14" t="s">
        <v>430</v>
      </c>
      <c r="F160" s="14"/>
    </row>
    <row r="161" customFormat="false" ht="15" hidden="false" customHeight="false" outlineLevel="0" collapsed="false">
      <c r="A161" s="11" t="s">
        <v>94</v>
      </c>
      <c r="B161" s="11" t="s">
        <v>821</v>
      </c>
      <c r="C161" s="11" t="s">
        <v>823</v>
      </c>
      <c r="D161" s="11" t="s">
        <v>83</v>
      </c>
      <c r="E161" s="11" t="s">
        <v>430</v>
      </c>
      <c r="F161" s="11"/>
    </row>
    <row r="162" customFormat="false" ht="15" hidden="false" customHeight="false" outlineLevel="0" collapsed="false">
      <c r="A162" s="14" t="s">
        <v>94</v>
      </c>
      <c r="B162" s="14" t="s">
        <v>821</v>
      </c>
      <c r="C162" s="14" t="s">
        <v>824</v>
      </c>
      <c r="D162" s="14" t="s">
        <v>75</v>
      </c>
      <c r="E162" s="14" t="s">
        <v>430</v>
      </c>
      <c r="F162" s="14"/>
    </row>
    <row r="163" customFormat="false" ht="15" hidden="false" customHeight="false" outlineLevel="0" collapsed="false">
      <c r="A163" s="11" t="s">
        <v>94</v>
      </c>
      <c r="B163" s="11" t="s">
        <v>825</v>
      </c>
      <c r="C163" s="11" t="s">
        <v>826</v>
      </c>
      <c r="D163" s="11" t="s">
        <v>827</v>
      </c>
      <c r="E163" s="11" t="s">
        <v>41</v>
      </c>
      <c r="F163" s="11"/>
    </row>
    <row r="164" customFormat="false" ht="15" hidden="false" customHeight="false" outlineLevel="0" collapsed="false">
      <c r="A164" s="14" t="s">
        <v>94</v>
      </c>
      <c r="B164" s="14" t="s">
        <v>701</v>
      </c>
      <c r="C164" s="14" t="s">
        <v>828</v>
      </c>
      <c r="D164" s="14" t="s">
        <v>829</v>
      </c>
      <c r="E164" s="14" t="s">
        <v>539</v>
      </c>
      <c r="F164" s="14"/>
    </row>
    <row r="165" customFormat="false" ht="15" hidden="false" customHeight="false" outlineLevel="0" collapsed="false">
      <c r="A165" s="11" t="s">
        <v>94</v>
      </c>
      <c r="B165" s="11" t="s">
        <v>701</v>
      </c>
      <c r="C165" s="11" t="s">
        <v>830</v>
      </c>
      <c r="D165" s="11" t="s">
        <v>831</v>
      </c>
      <c r="E165" s="11" t="s">
        <v>41</v>
      </c>
      <c r="F165" s="11"/>
    </row>
    <row r="166" customFormat="false" ht="15" hidden="false" customHeight="false" outlineLevel="0" collapsed="false">
      <c r="A166" s="14" t="s">
        <v>77</v>
      </c>
      <c r="B166" s="14" t="s">
        <v>268</v>
      </c>
      <c r="C166" s="14" t="s">
        <v>737</v>
      </c>
      <c r="D166" s="14" t="s">
        <v>475</v>
      </c>
      <c r="E166" s="14" t="s">
        <v>415</v>
      </c>
      <c r="F166" s="14"/>
    </row>
    <row r="167" customFormat="false" ht="15" hidden="false" customHeight="false" outlineLevel="0" collapsed="false">
      <c r="A167" s="11" t="s">
        <v>77</v>
      </c>
      <c r="B167" s="11" t="s">
        <v>276</v>
      </c>
      <c r="C167" s="11" t="s">
        <v>832</v>
      </c>
      <c r="D167" s="11" t="s">
        <v>631</v>
      </c>
      <c r="E167" s="11" t="s">
        <v>415</v>
      </c>
      <c r="F167" s="11" t="s">
        <v>833</v>
      </c>
    </row>
    <row r="168" customFormat="false" ht="15" hidden="false" customHeight="false" outlineLevel="0" collapsed="false">
      <c r="A168" s="14" t="s">
        <v>77</v>
      </c>
      <c r="B168" s="14" t="s">
        <v>276</v>
      </c>
      <c r="C168" s="14" t="s">
        <v>834</v>
      </c>
      <c r="D168" s="14" t="s">
        <v>835</v>
      </c>
      <c r="E168" s="14" t="s">
        <v>836</v>
      </c>
      <c r="F168" s="14" t="s">
        <v>837</v>
      </c>
    </row>
    <row r="169" customFormat="false" ht="15" hidden="false" customHeight="false" outlineLevel="0" collapsed="false">
      <c r="A169" s="11" t="s">
        <v>77</v>
      </c>
      <c r="B169" s="11" t="s">
        <v>838</v>
      </c>
      <c r="C169" s="11" t="s">
        <v>839</v>
      </c>
      <c r="D169" s="11" t="s">
        <v>840</v>
      </c>
      <c r="E169" s="11" t="s">
        <v>841</v>
      </c>
      <c r="F169" s="11"/>
    </row>
    <row r="170" customFormat="false" ht="15" hidden="false" customHeight="false" outlineLevel="0" collapsed="false">
      <c r="A170" s="14" t="s">
        <v>77</v>
      </c>
      <c r="B170" s="14" t="s">
        <v>838</v>
      </c>
      <c r="C170" s="14" t="s">
        <v>842</v>
      </c>
      <c r="D170" s="14" t="s">
        <v>840</v>
      </c>
      <c r="E170" s="14" t="s">
        <v>841</v>
      </c>
      <c r="F170" s="14"/>
    </row>
    <row r="171" customFormat="false" ht="15" hidden="false" customHeight="false" outlineLevel="0" collapsed="false">
      <c r="A171" s="11" t="s">
        <v>77</v>
      </c>
      <c r="B171" s="11" t="s">
        <v>843</v>
      </c>
      <c r="C171" s="11" t="s">
        <v>844</v>
      </c>
      <c r="D171" s="11" t="s">
        <v>845</v>
      </c>
      <c r="E171" s="11" t="s">
        <v>418</v>
      </c>
      <c r="F171" s="11"/>
    </row>
    <row r="172" customFormat="false" ht="15" hidden="false" customHeight="false" outlineLevel="0" collapsed="false">
      <c r="A172" s="14" t="s">
        <v>77</v>
      </c>
      <c r="B172" s="14" t="s">
        <v>846</v>
      </c>
      <c r="C172" s="14" t="s">
        <v>847</v>
      </c>
      <c r="D172" s="14" t="s">
        <v>414</v>
      </c>
      <c r="E172" s="14" t="s">
        <v>415</v>
      </c>
      <c r="F172" s="14" t="s">
        <v>848</v>
      </c>
    </row>
    <row r="173" customFormat="false" ht="15" hidden="false" customHeight="false" outlineLevel="0" collapsed="false">
      <c r="A173" s="11" t="s">
        <v>77</v>
      </c>
      <c r="B173" s="11" t="s">
        <v>846</v>
      </c>
      <c r="C173" s="11" t="s">
        <v>589</v>
      </c>
      <c r="D173" s="11" t="s">
        <v>849</v>
      </c>
      <c r="E173" s="11" t="s">
        <v>430</v>
      </c>
      <c r="F173" s="11"/>
    </row>
    <row r="174" customFormat="false" ht="15" hidden="false" customHeight="false" outlineLevel="0" collapsed="false">
      <c r="A174" s="14" t="s">
        <v>77</v>
      </c>
      <c r="B174" s="14" t="s">
        <v>850</v>
      </c>
      <c r="C174" s="14" t="s">
        <v>737</v>
      </c>
      <c r="D174" s="14" t="s">
        <v>851</v>
      </c>
      <c r="E174" s="14" t="s">
        <v>415</v>
      </c>
      <c r="F174" s="14" t="s">
        <v>852</v>
      </c>
    </row>
    <row r="175" customFormat="false" ht="15" hidden="false" customHeight="false" outlineLevel="0" collapsed="false">
      <c r="A175" s="11" t="s">
        <v>77</v>
      </c>
      <c r="B175" s="11" t="s">
        <v>853</v>
      </c>
      <c r="C175" s="11" t="s">
        <v>854</v>
      </c>
      <c r="D175" s="11" t="s">
        <v>631</v>
      </c>
      <c r="E175" s="11" t="s">
        <v>415</v>
      </c>
      <c r="F175" s="11" t="s">
        <v>855</v>
      </c>
    </row>
    <row r="176" customFormat="false" ht="15" hidden="false" customHeight="false" outlineLevel="0" collapsed="false">
      <c r="A176" s="14" t="s">
        <v>77</v>
      </c>
      <c r="B176" s="14" t="s">
        <v>856</v>
      </c>
      <c r="C176" s="14" t="s">
        <v>857</v>
      </c>
      <c r="D176" s="14" t="s">
        <v>484</v>
      </c>
      <c r="E176" s="14" t="s">
        <v>415</v>
      </c>
      <c r="F176" s="1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75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8" t="s">
        <v>858</v>
      </c>
      <c r="B1" s="8"/>
      <c r="C1" s="8"/>
      <c r="D1" s="8"/>
    </row>
    <row r="2" customFormat="false" ht="15" hidden="false" customHeight="false" outlineLevel="0" collapsed="false">
      <c r="A2" s="9" t="s">
        <v>859</v>
      </c>
      <c r="B2" s="9"/>
      <c r="C2" s="9"/>
      <c r="D2" s="9"/>
    </row>
    <row r="4" customFormat="false" ht="30" hidden="false" customHeight="true" outlineLevel="0" collapsed="false">
      <c r="A4" s="10" t="s">
        <v>30</v>
      </c>
      <c r="B4" s="10" t="s">
        <v>407</v>
      </c>
      <c r="C4" s="10" t="s">
        <v>860</v>
      </c>
      <c r="D4" s="10" t="s">
        <v>110</v>
      </c>
    </row>
    <row r="5" customFormat="false" ht="23.85" hidden="false" customHeight="false" outlineLevel="0" collapsed="false">
      <c r="A5" s="11" t="s">
        <v>38</v>
      </c>
      <c r="B5" s="11" t="s">
        <v>861</v>
      </c>
      <c r="C5" s="11" t="s">
        <v>862</v>
      </c>
      <c r="D5" s="11" t="s">
        <v>863</v>
      </c>
    </row>
    <row r="6" customFormat="false" ht="23.85" hidden="false" customHeight="false" outlineLevel="0" collapsed="false">
      <c r="A6" s="14" t="s">
        <v>38</v>
      </c>
      <c r="B6" s="14" t="s">
        <v>864</v>
      </c>
      <c r="C6" s="14" t="s">
        <v>865</v>
      </c>
      <c r="D6" s="14" t="s">
        <v>866</v>
      </c>
    </row>
    <row r="7" customFormat="false" ht="23.85" hidden="false" customHeight="false" outlineLevel="0" collapsed="false">
      <c r="A7" s="11" t="s">
        <v>38</v>
      </c>
      <c r="B7" s="11" t="s">
        <v>867</v>
      </c>
      <c r="C7" s="11" t="s">
        <v>868</v>
      </c>
      <c r="D7" s="11" t="s">
        <v>866</v>
      </c>
    </row>
    <row r="8" customFormat="false" ht="23.85" hidden="false" customHeight="false" outlineLevel="0" collapsed="false">
      <c r="A8" s="14" t="s">
        <v>38</v>
      </c>
      <c r="B8" s="14" t="s">
        <v>869</v>
      </c>
      <c r="C8" s="14" t="s">
        <v>870</v>
      </c>
      <c r="D8" s="14" t="s">
        <v>863</v>
      </c>
    </row>
    <row r="9" customFormat="false" ht="23.85" hidden="false" customHeight="false" outlineLevel="0" collapsed="false">
      <c r="A9" s="11" t="s">
        <v>43</v>
      </c>
      <c r="B9" s="11" t="s">
        <v>871</v>
      </c>
      <c r="C9" s="11" t="s">
        <v>872</v>
      </c>
      <c r="D9" s="11" t="s">
        <v>873</v>
      </c>
    </row>
    <row r="10" customFormat="false" ht="15" hidden="false" customHeight="false" outlineLevel="0" collapsed="false">
      <c r="A10" s="14" t="s">
        <v>43</v>
      </c>
      <c r="B10" s="14" t="s">
        <v>874</v>
      </c>
      <c r="C10" s="14" t="s">
        <v>875</v>
      </c>
      <c r="D10" s="14" t="s">
        <v>866</v>
      </c>
    </row>
    <row r="11" customFormat="false" ht="15" hidden="false" customHeight="false" outlineLevel="0" collapsed="false">
      <c r="A11" s="11" t="s">
        <v>46</v>
      </c>
      <c r="B11" s="11" t="s">
        <v>876</v>
      </c>
      <c r="C11" s="11" t="s">
        <v>877</v>
      </c>
      <c r="D11" s="11" t="s">
        <v>878</v>
      </c>
    </row>
    <row r="12" customFormat="false" ht="15" hidden="false" customHeight="false" outlineLevel="0" collapsed="false">
      <c r="A12" s="14" t="s">
        <v>46</v>
      </c>
      <c r="B12" s="14" t="s">
        <v>879</v>
      </c>
      <c r="C12" s="14" t="s">
        <v>880</v>
      </c>
      <c r="D12" s="14" t="s">
        <v>866</v>
      </c>
    </row>
    <row r="13" customFormat="false" ht="15" hidden="false" customHeight="false" outlineLevel="0" collapsed="false">
      <c r="A13" s="11" t="s">
        <v>46</v>
      </c>
      <c r="B13" s="11" t="s">
        <v>881</v>
      </c>
      <c r="C13" s="11" t="s">
        <v>882</v>
      </c>
      <c r="D13" s="11" t="s">
        <v>883</v>
      </c>
    </row>
    <row r="14" customFormat="false" ht="15" hidden="false" customHeight="false" outlineLevel="0" collapsed="false">
      <c r="A14" s="14" t="s">
        <v>46</v>
      </c>
      <c r="B14" s="14" t="s">
        <v>884</v>
      </c>
      <c r="C14" s="14" t="s">
        <v>885</v>
      </c>
      <c r="D14" s="14" t="s">
        <v>883</v>
      </c>
    </row>
    <row r="15" customFormat="false" ht="15" hidden="false" customHeight="false" outlineLevel="0" collapsed="false">
      <c r="A15" s="11" t="s">
        <v>49</v>
      </c>
      <c r="B15" s="11" t="s">
        <v>886</v>
      </c>
      <c r="C15" s="11" t="s">
        <v>887</v>
      </c>
      <c r="D15" s="11" t="s">
        <v>863</v>
      </c>
    </row>
    <row r="16" customFormat="false" ht="15" hidden="false" customHeight="false" outlineLevel="0" collapsed="false">
      <c r="A16" s="14" t="s">
        <v>49</v>
      </c>
      <c r="B16" s="14" t="s">
        <v>888</v>
      </c>
      <c r="C16" s="14" t="s">
        <v>889</v>
      </c>
      <c r="D16" s="14" t="s">
        <v>863</v>
      </c>
    </row>
    <row r="17" customFormat="false" ht="23.85" hidden="false" customHeight="false" outlineLevel="0" collapsed="false">
      <c r="A17" s="11" t="s">
        <v>49</v>
      </c>
      <c r="B17" s="11" t="s">
        <v>890</v>
      </c>
      <c r="C17" s="11" t="s">
        <v>891</v>
      </c>
      <c r="D17" s="11" t="s">
        <v>866</v>
      </c>
    </row>
    <row r="18" customFormat="false" ht="23.85" hidden="false" customHeight="false" outlineLevel="0" collapsed="false">
      <c r="A18" s="14" t="s">
        <v>49</v>
      </c>
      <c r="B18" s="14" t="s">
        <v>892</v>
      </c>
      <c r="C18" s="14" t="s">
        <v>893</v>
      </c>
      <c r="D18" s="14" t="s">
        <v>883</v>
      </c>
    </row>
    <row r="19" customFormat="false" ht="23.85" hidden="false" customHeight="false" outlineLevel="0" collapsed="false">
      <c r="A19" s="11" t="s">
        <v>49</v>
      </c>
      <c r="B19" s="11" t="s">
        <v>894</v>
      </c>
      <c r="C19" s="11" t="s">
        <v>895</v>
      </c>
      <c r="D19" s="11" t="s">
        <v>896</v>
      </c>
    </row>
    <row r="20" customFormat="false" ht="15" hidden="false" customHeight="false" outlineLevel="0" collapsed="false">
      <c r="A20" s="14" t="s">
        <v>53</v>
      </c>
      <c r="B20" s="14" t="s">
        <v>897</v>
      </c>
      <c r="C20" s="14" t="s">
        <v>898</v>
      </c>
      <c r="D20" s="14" t="s">
        <v>878</v>
      </c>
    </row>
    <row r="21" customFormat="false" ht="23.85" hidden="false" customHeight="false" outlineLevel="0" collapsed="false">
      <c r="A21" s="11" t="s">
        <v>53</v>
      </c>
      <c r="B21" s="11" t="s">
        <v>899</v>
      </c>
      <c r="C21" s="11" t="s">
        <v>900</v>
      </c>
      <c r="D21" s="11" t="s">
        <v>901</v>
      </c>
    </row>
    <row r="22" customFormat="false" ht="15" hidden="false" customHeight="false" outlineLevel="0" collapsed="false">
      <c r="A22" s="14" t="s">
        <v>53</v>
      </c>
      <c r="B22" s="14" t="s">
        <v>902</v>
      </c>
      <c r="C22" s="14" t="s">
        <v>903</v>
      </c>
      <c r="D22" s="14" t="s">
        <v>904</v>
      </c>
    </row>
    <row r="23" customFormat="false" ht="23.85" hidden="false" customHeight="false" outlineLevel="0" collapsed="false">
      <c r="A23" s="11" t="s">
        <v>56</v>
      </c>
      <c r="B23" s="11" t="s">
        <v>905</v>
      </c>
      <c r="C23" s="11" t="s">
        <v>906</v>
      </c>
      <c r="D23" s="11" t="s">
        <v>866</v>
      </c>
    </row>
    <row r="24" customFormat="false" ht="15" hidden="false" customHeight="false" outlineLevel="0" collapsed="false">
      <c r="A24" s="14" t="s">
        <v>56</v>
      </c>
      <c r="B24" s="14" t="s">
        <v>907</v>
      </c>
      <c r="C24" s="14" t="s">
        <v>908</v>
      </c>
      <c r="D24" s="14" t="s">
        <v>883</v>
      </c>
    </row>
    <row r="25" customFormat="false" ht="15" hidden="false" customHeight="false" outlineLevel="0" collapsed="false">
      <c r="A25" s="11" t="s">
        <v>56</v>
      </c>
      <c r="B25" s="11" t="s">
        <v>909</v>
      </c>
      <c r="C25" s="11" t="s">
        <v>910</v>
      </c>
      <c r="D25" s="11" t="s">
        <v>863</v>
      </c>
    </row>
    <row r="26" customFormat="false" ht="15" hidden="false" customHeight="false" outlineLevel="0" collapsed="false">
      <c r="A26" s="14" t="s">
        <v>58</v>
      </c>
      <c r="B26" s="14" t="s">
        <v>911</v>
      </c>
      <c r="C26" s="14" t="s">
        <v>912</v>
      </c>
      <c r="D26" s="14" t="s">
        <v>866</v>
      </c>
    </row>
    <row r="27" customFormat="false" ht="15" hidden="false" customHeight="false" outlineLevel="0" collapsed="false">
      <c r="A27" s="11" t="s">
        <v>58</v>
      </c>
      <c r="B27" s="11" t="s">
        <v>913</v>
      </c>
      <c r="C27" s="11" t="s">
        <v>914</v>
      </c>
      <c r="D27" s="11" t="s">
        <v>878</v>
      </c>
    </row>
    <row r="28" customFormat="false" ht="23.85" hidden="false" customHeight="false" outlineLevel="0" collapsed="false">
      <c r="A28" s="14" t="s">
        <v>58</v>
      </c>
      <c r="B28" s="14" t="s">
        <v>202</v>
      </c>
      <c r="C28" s="14" t="s">
        <v>915</v>
      </c>
      <c r="D28" s="14" t="s">
        <v>904</v>
      </c>
    </row>
    <row r="29" customFormat="false" ht="15" hidden="false" customHeight="false" outlineLevel="0" collapsed="false">
      <c r="A29" s="11" t="s">
        <v>58</v>
      </c>
      <c r="B29" s="11" t="s">
        <v>916</v>
      </c>
      <c r="C29" s="11" t="s">
        <v>917</v>
      </c>
      <c r="D29" s="11" t="s">
        <v>878</v>
      </c>
    </row>
    <row r="30" customFormat="false" ht="15" hidden="false" customHeight="false" outlineLevel="0" collapsed="false">
      <c r="A30" s="14" t="s">
        <v>61</v>
      </c>
      <c r="B30" s="14" t="s">
        <v>918</v>
      </c>
      <c r="C30" s="14" t="s">
        <v>919</v>
      </c>
      <c r="D30" s="14" t="s">
        <v>866</v>
      </c>
    </row>
    <row r="31" customFormat="false" ht="15" hidden="false" customHeight="false" outlineLevel="0" collapsed="false">
      <c r="A31" s="11" t="s">
        <v>61</v>
      </c>
      <c r="B31" s="11" t="s">
        <v>516</v>
      </c>
      <c r="C31" s="11" t="s">
        <v>920</v>
      </c>
      <c r="D31" s="11" t="s">
        <v>921</v>
      </c>
    </row>
    <row r="32" customFormat="false" ht="15" hidden="false" customHeight="false" outlineLevel="0" collapsed="false">
      <c r="A32" s="14" t="s">
        <v>61</v>
      </c>
      <c r="B32" s="14" t="s">
        <v>922</v>
      </c>
      <c r="C32" s="14" t="s">
        <v>923</v>
      </c>
      <c r="D32" s="14" t="s">
        <v>866</v>
      </c>
    </row>
    <row r="33" customFormat="false" ht="15" hidden="false" customHeight="false" outlineLevel="0" collapsed="false">
      <c r="A33" s="11" t="s">
        <v>61</v>
      </c>
      <c r="B33" s="11" t="s">
        <v>924</v>
      </c>
      <c r="C33" s="11" t="s">
        <v>925</v>
      </c>
      <c r="D33" s="11" t="s">
        <v>866</v>
      </c>
    </row>
    <row r="34" customFormat="false" ht="23.85" hidden="false" customHeight="false" outlineLevel="0" collapsed="false">
      <c r="A34" s="14" t="s">
        <v>64</v>
      </c>
      <c r="B34" s="14" t="s">
        <v>926</v>
      </c>
      <c r="C34" s="14" t="s">
        <v>927</v>
      </c>
      <c r="D34" s="14" t="s">
        <v>928</v>
      </c>
    </row>
    <row r="35" customFormat="false" ht="23.85" hidden="false" customHeight="false" outlineLevel="0" collapsed="false">
      <c r="A35" s="11" t="s">
        <v>64</v>
      </c>
      <c r="B35" s="11" t="s">
        <v>929</v>
      </c>
      <c r="C35" s="11" t="s">
        <v>930</v>
      </c>
      <c r="D35" s="11" t="s">
        <v>928</v>
      </c>
    </row>
    <row r="36" customFormat="false" ht="23.85" hidden="false" customHeight="false" outlineLevel="0" collapsed="false">
      <c r="A36" s="14" t="s">
        <v>64</v>
      </c>
      <c r="B36" s="14" t="s">
        <v>931</v>
      </c>
      <c r="C36" s="14" t="s">
        <v>932</v>
      </c>
      <c r="D36" s="14" t="s">
        <v>928</v>
      </c>
    </row>
    <row r="37" customFormat="false" ht="23.85" hidden="false" customHeight="false" outlineLevel="0" collapsed="false">
      <c r="A37" s="11" t="s">
        <v>66</v>
      </c>
      <c r="B37" s="11" t="s">
        <v>933</v>
      </c>
      <c r="C37" s="11" t="s">
        <v>934</v>
      </c>
      <c r="D37" s="11" t="s">
        <v>935</v>
      </c>
    </row>
    <row r="38" customFormat="false" ht="15" hidden="false" customHeight="false" outlineLevel="0" collapsed="false">
      <c r="A38" s="14" t="s">
        <v>66</v>
      </c>
      <c r="B38" s="14" t="s">
        <v>936</v>
      </c>
      <c r="C38" s="14" t="s">
        <v>937</v>
      </c>
      <c r="D38" s="14" t="s">
        <v>883</v>
      </c>
    </row>
    <row r="39" customFormat="false" ht="15" hidden="false" customHeight="false" outlineLevel="0" collapsed="false">
      <c r="A39" s="11" t="s">
        <v>68</v>
      </c>
      <c r="B39" s="11" t="s">
        <v>938</v>
      </c>
      <c r="C39" s="11" t="s">
        <v>939</v>
      </c>
      <c r="D39" s="11" t="s">
        <v>866</v>
      </c>
    </row>
    <row r="40" customFormat="false" ht="15" hidden="false" customHeight="false" outlineLevel="0" collapsed="false">
      <c r="A40" s="14" t="s">
        <v>68</v>
      </c>
      <c r="B40" s="14" t="s">
        <v>940</v>
      </c>
      <c r="C40" s="14" t="s">
        <v>941</v>
      </c>
      <c r="D40" s="14" t="s">
        <v>883</v>
      </c>
    </row>
    <row r="41" customFormat="false" ht="15" hidden="false" customHeight="false" outlineLevel="0" collapsed="false">
      <c r="A41" s="11" t="s">
        <v>72</v>
      </c>
      <c r="B41" s="11" t="s">
        <v>942</v>
      </c>
      <c r="C41" s="11" t="s">
        <v>943</v>
      </c>
      <c r="D41" s="11" t="s">
        <v>904</v>
      </c>
    </row>
    <row r="42" customFormat="false" ht="23.85" hidden="false" customHeight="false" outlineLevel="0" collapsed="false">
      <c r="A42" s="14" t="s">
        <v>72</v>
      </c>
      <c r="B42" s="14" t="s">
        <v>944</v>
      </c>
      <c r="C42" s="14" t="s">
        <v>945</v>
      </c>
      <c r="D42" s="14" t="s">
        <v>873</v>
      </c>
    </row>
    <row r="43" customFormat="false" ht="15" hidden="false" customHeight="false" outlineLevel="0" collapsed="false">
      <c r="A43" s="11" t="s">
        <v>74</v>
      </c>
      <c r="B43" s="11" t="s">
        <v>946</v>
      </c>
      <c r="C43" s="11" t="s">
        <v>947</v>
      </c>
      <c r="D43" s="11" t="s">
        <v>878</v>
      </c>
    </row>
    <row r="44" customFormat="false" ht="15" hidden="false" customHeight="false" outlineLevel="0" collapsed="false">
      <c r="A44" s="14" t="s">
        <v>74</v>
      </c>
      <c r="B44" s="14" t="s">
        <v>948</v>
      </c>
      <c r="C44" s="14" t="s">
        <v>949</v>
      </c>
      <c r="D44" s="14" t="s">
        <v>866</v>
      </c>
    </row>
    <row r="45" customFormat="false" ht="15" hidden="false" customHeight="false" outlineLevel="0" collapsed="false">
      <c r="A45" s="11" t="s">
        <v>74</v>
      </c>
      <c r="B45" s="11" t="s">
        <v>950</v>
      </c>
      <c r="C45" s="11" t="s">
        <v>951</v>
      </c>
      <c r="D45" s="11" t="s">
        <v>863</v>
      </c>
    </row>
    <row r="46" customFormat="false" ht="23.85" hidden="false" customHeight="false" outlineLevel="0" collapsed="false">
      <c r="A46" s="14" t="s">
        <v>77</v>
      </c>
      <c r="B46" s="14" t="s">
        <v>952</v>
      </c>
      <c r="C46" s="14" t="s">
        <v>953</v>
      </c>
      <c r="D46" s="14" t="s">
        <v>954</v>
      </c>
    </row>
    <row r="47" customFormat="false" ht="15" hidden="false" customHeight="false" outlineLevel="0" collapsed="false">
      <c r="A47" s="11" t="s">
        <v>77</v>
      </c>
      <c r="B47" s="11" t="s">
        <v>955</v>
      </c>
      <c r="C47" s="11" t="s">
        <v>956</v>
      </c>
      <c r="D47" s="11" t="s">
        <v>863</v>
      </c>
    </row>
    <row r="48" customFormat="false" ht="15" hidden="false" customHeight="false" outlineLevel="0" collapsed="false">
      <c r="A48" s="14" t="s">
        <v>77</v>
      </c>
      <c r="B48" s="14" t="s">
        <v>957</v>
      </c>
      <c r="C48" s="14" t="s">
        <v>958</v>
      </c>
      <c r="D48" s="14" t="s">
        <v>959</v>
      </c>
    </row>
    <row r="49" customFormat="false" ht="15" hidden="false" customHeight="false" outlineLevel="0" collapsed="false">
      <c r="A49" s="11" t="s">
        <v>77</v>
      </c>
      <c r="B49" s="11" t="s">
        <v>960</v>
      </c>
      <c r="C49" s="11" t="s">
        <v>961</v>
      </c>
      <c r="D49" s="11" t="s">
        <v>904</v>
      </c>
    </row>
    <row r="50" customFormat="false" ht="15" hidden="false" customHeight="false" outlineLevel="0" collapsed="false">
      <c r="A50" s="14" t="s">
        <v>77</v>
      </c>
      <c r="B50" s="14" t="s">
        <v>962</v>
      </c>
      <c r="C50" s="14" t="s">
        <v>963</v>
      </c>
      <c r="D50" s="14" t="s">
        <v>878</v>
      </c>
    </row>
    <row r="51" customFormat="false" ht="15" hidden="false" customHeight="false" outlineLevel="0" collapsed="false">
      <c r="A51" s="11" t="s">
        <v>79</v>
      </c>
      <c r="B51" s="11" t="s">
        <v>964</v>
      </c>
      <c r="C51" s="11" t="s">
        <v>965</v>
      </c>
      <c r="D51" s="11" t="s">
        <v>863</v>
      </c>
    </row>
    <row r="52" customFormat="false" ht="23.85" hidden="false" customHeight="false" outlineLevel="0" collapsed="false">
      <c r="A52" s="14" t="s">
        <v>79</v>
      </c>
      <c r="B52" s="14" t="s">
        <v>651</v>
      </c>
      <c r="C52" s="14" t="s">
        <v>966</v>
      </c>
      <c r="D52" s="14" t="s">
        <v>866</v>
      </c>
    </row>
    <row r="53" customFormat="false" ht="15" hidden="false" customHeight="false" outlineLevel="0" collapsed="false">
      <c r="A53" s="11" t="s">
        <v>79</v>
      </c>
      <c r="B53" s="11" t="s">
        <v>967</v>
      </c>
      <c r="C53" s="11" t="s">
        <v>968</v>
      </c>
      <c r="D53" s="11" t="s">
        <v>969</v>
      </c>
    </row>
    <row r="54" customFormat="false" ht="15" hidden="false" customHeight="false" outlineLevel="0" collapsed="false">
      <c r="A54" s="14" t="s">
        <v>79</v>
      </c>
      <c r="B54" s="14" t="s">
        <v>970</v>
      </c>
      <c r="C54" s="14" t="s">
        <v>971</v>
      </c>
      <c r="D54" s="14" t="s">
        <v>959</v>
      </c>
    </row>
    <row r="55" customFormat="false" ht="15" hidden="false" customHeight="false" outlineLevel="0" collapsed="false">
      <c r="A55" s="11" t="s">
        <v>81</v>
      </c>
      <c r="B55" s="11" t="s">
        <v>972</v>
      </c>
      <c r="C55" s="11" t="s">
        <v>973</v>
      </c>
      <c r="D55" s="11" t="s">
        <v>866</v>
      </c>
    </row>
    <row r="56" customFormat="false" ht="23.85" hidden="false" customHeight="false" outlineLevel="0" collapsed="false">
      <c r="A56" s="14" t="s">
        <v>81</v>
      </c>
      <c r="B56" s="14" t="s">
        <v>974</v>
      </c>
      <c r="C56" s="14" t="s">
        <v>975</v>
      </c>
      <c r="D56" s="14" t="s">
        <v>959</v>
      </c>
    </row>
    <row r="57" customFormat="false" ht="23.85" hidden="false" customHeight="false" outlineLevel="0" collapsed="false">
      <c r="A57" s="11" t="s">
        <v>85</v>
      </c>
      <c r="B57" s="11" t="s">
        <v>976</v>
      </c>
      <c r="C57" s="11" t="s">
        <v>977</v>
      </c>
      <c r="D57" s="11" t="s">
        <v>863</v>
      </c>
    </row>
    <row r="58" customFormat="false" ht="23.85" hidden="false" customHeight="false" outlineLevel="0" collapsed="false">
      <c r="A58" s="14" t="s">
        <v>85</v>
      </c>
      <c r="B58" s="14" t="s">
        <v>978</v>
      </c>
      <c r="C58" s="14" t="s">
        <v>979</v>
      </c>
      <c r="D58" s="14" t="s">
        <v>866</v>
      </c>
    </row>
    <row r="59" customFormat="false" ht="23.85" hidden="false" customHeight="false" outlineLevel="0" collapsed="false">
      <c r="A59" s="11" t="s">
        <v>85</v>
      </c>
      <c r="B59" s="11" t="s">
        <v>980</v>
      </c>
      <c r="C59" s="11" t="s">
        <v>981</v>
      </c>
      <c r="D59" s="11" t="s">
        <v>982</v>
      </c>
    </row>
    <row r="60" customFormat="false" ht="15" hidden="false" customHeight="false" outlineLevel="0" collapsed="false">
      <c r="A60" s="14" t="s">
        <v>88</v>
      </c>
      <c r="B60" s="14" t="s">
        <v>983</v>
      </c>
      <c r="C60" s="14" t="s">
        <v>984</v>
      </c>
      <c r="D60" s="14" t="s">
        <v>866</v>
      </c>
    </row>
    <row r="61" customFormat="false" ht="15" hidden="false" customHeight="false" outlineLevel="0" collapsed="false">
      <c r="A61" s="11" t="s">
        <v>88</v>
      </c>
      <c r="B61" s="11" t="s">
        <v>985</v>
      </c>
      <c r="C61" s="11" t="s">
        <v>986</v>
      </c>
      <c r="D61" s="11" t="s">
        <v>863</v>
      </c>
    </row>
    <row r="62" customFormat="false" ht="23.85" hidden="false" customHeight="false" outlineLevel="0" collapsed="false">
      <c r="A62" s="14" t="s">
        <v>90</v>
      </c>
      <c r="B62" s="14" t="s">
        <v>987</v>
      </c>
      <c r="C62" s="14" t="s">
        <v>988</v>
      </c>
      <c r="D62" s="14" t="s">
        <v>878</v>
      </c>
    </row>
    <row r="63" customFormat="false" ht="23.85" hidden="false" customHeight="false" outlineLevel="0" collapsed="false">
      <c r="A63" s="11" t="s">
        <v>90</v>
      </c>
      <c r="B63" s="11" t="s">
        <v>989</v>
      </c>
      <c r="C63" s="11" t="s">
        <v>990</v>
      </c>
      <c r="D63" s="11" t="s">
        <v>991</v>
      </c>
    </row>
    <row r="64" customFormat="false" ht="23.85" hidden="false" customHeight="false" outlineLevel="0" collapsed="false">
      <c r="A64" s="14" t="s">
        <v>90</v>
      </c>
      <c r="B64" s="14" t="s">
        <v>992</v>
      </c>
      <c r="C64" s="14" t="s">
        <v>993</v>
      </c>
      <c r="D64" s="14" t="s">
        <v>863</v>
      </c>
    </row>
    <row r="65" customFormat="false" ht="23.85" hidden="false" customHeight="false" outlineLevel="0" collapsed="false">
      <c r="A65" s="11" t="s">
        <v>92</v>
      </c>
      <c r="B65" s="11" t="s">
        <v>994</v>
      </c>
      <c r="C65" s="11" t="s">
        <v>995</v>
      </c>
      <c r="D65" s="11" t="s">
        <v>863</v>
      </c>
    </row>
    <row r="66" customFormat="false" ht="23.85" hidden="false" customHeight="false" outlineLevel="0" collapsed="false">
      <c r="A66" s="14" t="s">
        <v>92</v>
      </c>
      <c r="B66" s="14" t="s">
        <v>996</v>
      </c>
      <c r="C66" s="14" t="s">
        <v>997</v>
      </c>
      <c r="D66" s="14" t="s">
        <v>863</v>
      </c>
    </row>
    <row r="67" customFormat="false" ht="15" hidden="false" customHeight="false" outlineLevel="0" collapsed="false">
      <c r="A67" s="11" t="s">
        <v>94</v>
      </c>
      <c r="B67" s="11" t="s">
        <v>998</v>
      </c>
      <c r="C67" s="11" t="s">
        <v>999</v>
      </c>
      <c r="D67" s="11" t="s">
        <v>866</v>
      </c>
    </row>
    <row r="68" customFormat="false" ht="23.85" hidden="false" customHeight="false" outlineLevel="0" collapsed="false">
      <c r="A68" s="14" t="s">
        <v>94</v>
      </c>
      <c r="B68" s="14" t="s">
        <v>1000</v>
      </c>
      <c r="C68" s="14" t="s">
        <v>1001</v>
      </c>
      <c r="D68" s="14" t="s">
        <v>863</v>
      </c>
    </row>
    <row r="69" customFormat="false" ht="23.85" hidden="false" customHeight="false" outlineLevel="0" collapsed="false">
      <c r="A69" s="11" t="s">
        <v>97</v>
      </c>
      <c r="B69" s="11" t="s">
        <v>1002</v>
      </c>
      <c r="C69" s="11" t="s">
        <v>1003</v>
      </c>
      <c r="D69" s="11" t="s">
        <v>959</v>
      </c>
    </row>
    <row r="70" customFormat="false" ht="15" hidden="false" customHeight="false" outlineLevel="0" collapsed="false">
      <c r="A70" s="14" t="s">
        <v>99</v>
      </c>
      <c r="B70" s="14" t="s">
        <v>1004</v>
      </c>
      <c r="C70" s="14" t="s">
        <v>1005</v>
      </c>
      <c r="D70" s="14" t="s">
        <v>883</v>
      </c>
    </row>
    <row r="71" customFormat="false" ht="15" hidden="false" customHeight="false" outlineLevel="0" collapsed="false">
      <c r="A71" s="11" t="s">
        <v>99</v>
      </c>
      <c r="B71" s="11" t="s">
        <v>1006</v>
      </c>
      <c r="C71" s="11" t="s">
        <v>1007</v>
      </c>
      <c r="D71" s="11" t="s">
        <v>904</v>
      </c>
    </row>
    <row r="72" customFormat="false" ht="15" hidden="false" customHeight="false" outlineLevel="0" collapsed="false">
      <c r="A72" s="14" t="s">
        <v>101</v>
      </c>
      <c r="B72" s="14" t="s">
        <v>1008</v>
      </c>
      <c r="C72" s="14" t="s">
        <v>1009</v>
      </c>
      <c r="D72" s="14" t="s">
        <v>1010</v>
      </c>
    </row>
    <row r="73" customFormat="false" ht="15" hidden="false" customHeight="false" outlineLevel="0" collapsed="false">
      <c r="A73" s="11" t="s">
        <v>101</v>
      </c>
      <c r="B73" s="11" t="s">
        <v>1011</v>
      </c>
      <c r="C73" s="11" t="s">
        <v>1012</v>
      </c>
      <c r="D73" s="11" t="s">
        <v>863</v>
      </c>
    </row>
    <row r="74" customFormat="false" ht="23.85" hidden="false" customHeight="false" outlineLevel="0" collapsed="false">
      <c r="A74" s="14" t="s">
        <v>103</v>
      </c>
      <c r="B74" s="14" t="s">
        <v>1013</v>
      </c>
      <c r="C74" s="14" t="s">
        <v>1014</v>
      </c>
      <c r="D74" s="14" t="s">
        <v>866</v>
      </c>
    </row>
    <row r="75" customFormat="false" ht="23.85" hidden="false" customHeight="false" outlineLevel="0" collapsed="false">
      <c r="A75" s="11" t="s">
        <v>103</v>
      </c>
      <c r="B75" s="11" t="s">
        <v>1015</v>
      </c>
      <c r="C75" s="11" t="s">
        <v>1016</v>
      </c>
      <c r="D75" s="11" t="s">
        <v>959</v>
      </c>
    </row>
    <row r="76" customFormat="false" ht="23.85" hidden="false" customHeight="false" outlineLevel="0" collapsed="false">
      <c r="A76" s="14" t="s">
        <v>103</v>
      </c>
      <c r="B76" s="14" t="s">
        <v>777</v>
      </c>
      <c r="C76" s="14" t="s">
        <v>1017</v>
      </c>
      <c r="D76" s="14" t="s">
        <v>863</v>
      </c>
    </row>
    <row r="77" customFormat="false" ht="23.85" hidden="false" customHeight="false" outlineLevel="0" collapsed="false">
      <c r="A77" s="11" t="s">
        <v>105</v>
      </c>
      <c r="B77" s="11" t="s">
        <v>1018</v>
      </c>
      <c r="C77" s="11" t="s">
        <v>1019</v>
      </c>
      <c r="D77" s="11" t="s">
        <v>866</v>
      </c>
    </row>
    <row r="78" customFormat="false" ht="23.85" hidden="false" customHeight="false" outlineLevel="0" collapsed="false">
      <c r="A78" s="14" t="s">
        <v>105</v>
      </c>
      <c r="B78" s="14" t="s">
        <v>1020</v>
      </c>
      <c r="C78" s="14" t="s">
        <v>1021</v>
      </c>
      <c r="D78" s="14" t="s">
        <v>959</v>
      </c>
    </row>
    <row r="79" customFormat="false" ht="23.85" hidden="false" customHeight="false" outlineLevel="0" collapsed="false">
      <c r="A79" s="11" t="s">
        <v>105</v>
      </c>
      <c r="B79" s="11" t="s">
        <v>1022</v>
      </c>
      <c r="C79" s="11" t="s">
        <v>1023</v>
      </c>
      <c r="D79" s="11" t="s">
        <v>878</v>
      </c>
    </row>
    <row r="80" customFormat="false" ht="23.85" hidden="false" customHeight="false" outlineLevel="0" collapsed="false">
      <c r="A80" s="14" t="s">
        <v>105</v>
      </c>
      <c r="B80" s="14" t="s">
        <v>1024</v>
      </c>
      <c r="C80" s="14" t="s">
        <v>1025</v>
      </c>
      <c r="D80" s="14" t="s">
        <v>863</v>
      </c>
    </row>
    <row r="81" customFormat="false" ht="15" hidden="false" customHeight="false" outlineLevel="0" collapsed="false">
      <c r="A81" s="11" t="s">
        <v>1026</v>
      </c>
      <c r="B81" s="11" t="s">
        <v>1027</v>
      </c>
      <c r="C81" s="11" t="s">
        <v>1028</v>
      </c>
      <c r="D81" s="11" t="s">
        <v>982</v>
      </c>
    </row>
    <row r="82" customFormat="false" ht="15" hidden="false" customHeight="false" outlineLevel="0" collapsed="false">
      <c r="A82" s="14" t="s">
        <v>1026</v>
      </c>
      <c r="B82" s="14" t="s">
        <v>1029</v>
      </c>
      <c r="C82" s="14" t="s">
        <v>1030</v>
      </c>
      <c r="D82" s="14" t="s">
        <v>982</v>
      </c>
    </row>
    <row r="83" customFormat="false" ht="15" hidden="false" customHeight="false" outlineLevel="0" collapsed="false">
      <c r="A83" s="11" t="s">
        <v>1026</v>
      </c>
      <c r="B83" s="11" t="s">
        <v>1031</v>
      </c>
      <c r="C83" s="11" t="s">
        <v>1032</v>
      </c>
      <c r="D83" s="11" t="s">
        <v>982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24"/>
  </cols>
  <sheetData>
    <row r="1" customFormat="false" ht="27.75" hidden="false" customHeight="true" outlineLevel="0" collapsed="false">
      <c r="A1" s="8" t="s">
        <v>12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9" t="s">
        <v>1033</v>
      </c>
      <c r="B2" s="9"/>
      <c r="C2" s="9"/>
      <c r="D2" s="9"/>
      <c r="E2" s="9"/>
      <c r="F2" s="9"/>
    </row>
    <row r="4" customFormat="false" ht="18" hidden="false" customHeight="true" outlineLevel="0" collapsed="false">
      <c r="A4" s="4" t="s">
        <v>1034</v>
      </c>
      <c r="B4" s="4"/>
    </row>
    <row r="5" customFormat="false" ht="30" hidden="false" customHeight="true" outlineLevel="0" collapsed="false">
      <c r="A5" s="10" t="s">
        <v>1035</v>
      </c>
      <c r="B5" s="10" t="s">
        <v>33</v>
      </c>
    </row>
    <row r="6" customFormat="false" ht="35.05" hidden="false" customHeight="false" outlineLevel="0" collapsed="false">
      <c r="A6" s="11" t="s">
        <v>1036</v>
      </c>
      <c r="B6" s="12" t="n">
        <v>5</v>
      </c>
    </row>
    <row r="7" customFormat="false" ht="15" hidden="false" customHeight="false" outlineLevel="0" collapsed="false">
      <c r="A7" s="14" t="s">
        <v>822</v>
      </c>
      <c r="B7" s="15" t="n">
        <v>10</v>
      </c>
    </row>
    <row r="8" customFormat="false" ht="35.05" hidden="false" customHeight="false" outlineLevel="0" collapsed="false">
      <c r="A8" s="11" t="s">
        <v>1037</v>
      </c>
      <c r="B8" s="12" t="n">
        <v>15</v>
      </c>
    </row>
    <row r="9" customFormat="false" ht="35.05" hidden="false" customHeight="false" outlineLevel="0" collapsed="false">
      <c r="A9" s="14" t="s">
        <v>1038</v>
      </c>
      <c r="B9" s="15" t="n">
        <v>30</v>
      </c>
    </row>
    <row r="12" customFormat="false" ht="18" hidden="false" customHeight="true" outlineLevel="0" collapsed="false">
      <c r="A12" s="4" t="s">
        <v>1039</v>
      </c>
      <c r="B12" s="4"/>
      <c r="C12" s="4"/>
      <c r="D12" s="4"/>
    </row>
    <row r="13" customFormat="false" ht="23.85" hidden="false" customHeight="false" outlineLevel="0" collapsed="false">
      <c r="A13" s="17" t="s">
        <v>1040</v>
      </c>
      <c r="B13" s="17" t="s">
        <v>1041</v>
      </c>
      <c r="C13" s="17" t="s">
        <v>1042</v>
      </c>
      <c r="D13" s="17" t="s">
        <v>1043</v>
      </c>
    </row>
    <row r="14" customFormat="false" ht="15" hidden="false" customHeight="false" outlineLevel="0" collapsed="false">
      <c r="A14" s="18" t="n">
        <v>1</v>
      </c>
      <c r="B14" s="19" t="n">
        <f aca="false">15*A14^2+50*A14+0.15*A14^4.1+IF(A14&gt;85,0.025*(A14-85)^5.5,0)</f>
        <v>65.15</v>
      </c>
      <c r="C14" s="18" t="n">
        <f aca="false">10+(A14-1)*3</f>
        <v>10</v>
      </c>
      <c r="D14" s="18" t="n">
        <f aca="false">(A14-1)*3</f>
        <v>0</v>
      </c>
    </row>
    <row r="15" customFormat="false" ht="15" hidden="false" customHeight="false" outlineLevel="0" collapsed="false">
      <c r="A15" s="18" t="n">
        <v>2</v>
      </c>
      <c r="B15" s="19" t="n">
        <f aca="false">15*A15^2+50*A15+0.15*A15^4.1+IF(A15&gt;85,0.025*(A15-85)^5.5,0)</f>
        <v>162.572256310087</v>
      </c>
      <c r="C15" s="18" t="n">
        <f aca="false">10+(A15-1)*3</f>
        <v>13</v>
      </c>
      <c r="D15" s="18" t="n">
        <f aca="false">(A15-1)*3</f>
        <v>3</v>
      </c>
    </row>
    <row r="16" customFormat="false" ht="15" hidden="false" customHeight="false" outlineLevel="0" collapsed="false">
      <c r="A16" s="18" t="n">
        <v>3</v>
      </c>
      <c r="B16" s="19" t="n">
        <f aca="false">15*A16^2+50*A16+0.15*A16^4.1+IF(A16&gt;85,0.025*(A16-85)^5.5,0)</f>
        <v>298.560896564512</v>
      </c>
      <c r="C16" s="18" t="n">
        <f aca="false">10+(A16-1)*3</f>
        <v>16</v>
      </c>
      <c r="D16" s="18" t="n">
        <f aca="false">(A16-1)*3</f>
        <v>6</v>
      </c>
    </row>
    <row r="17" customFormat="false" ht="15" hidden="false" customHeight="false" outlineLevel="0" collapsed="false">
      <c r="A17" s="18" t="n">
        <v>4</v>
      </c>
      <c r="B17" s="19" t="n">
        <f aca="false">15*A17^2+50*A17+0.15*A17^4.1+IF(A17&gt;85,0.025*(A17-85)^5.5,0)</f>
        <v>484.110016831886</v>
      </c>
      <c r="C17" s="18" t="n">
        <f aca="false">10+(A17-1)*3</f>
        <v>19</v>
      </c>
      <c r="D17" s="18" t="n">
        <f aca="false">(A17-1)*3</f>
        <v>9</v>
      </c>
    </row>
    <row r="18" customFormat="false" ht="15" hidden="false" customHeight="false" outlineLevel="0" collapsed="false">
      <c r="A18" s="18" t="n">
        <v>5</v>
      </c>
      <c r="B18" s="19" t="n">
        <f aca="false">15*A18^2+50*A18+0.15*A18^4.1+IF(A18&gt;85,0.025*(A18-85)^5.5,0)</f>
        <v>735.120525914502</v>
      </c>
      <c r="C18" s="18" t="n">
        <f aca="false">10+(A18-1)*3</f>
        <v>22</v>
      </c>
      <c r="D18" s="18" t="n">
        <f aca="false">(A18-1)*3</f>
        <v>12</v>
      </c>
    </row>
    <row r="19" customFormat="false" ht="15" hidden="false" customHeight="false" outlineLevel="0" collapsed="false">
      <c r="A19" s="18" t="n">
        <v>6</v>
      </c>
      <c r="B19" s="19" t="n">
        <f aca="false">15*A19^2+50*A19+0.15*A19^4.1+IF(A19&gt;85,0.025*(A19-85)^5.5,0)</f>
        <v>1072.5473450567</v>
      </c>
      <c r="C19" s="18" t="n">
        <f aca="false">10+(A19-1)*3</f>
        <v>25</v>
      </c>
      <c r="D19" s="18" t="n">
        <f aca="false">(A19-1)*3</f>
        <v>15</v>
      </c>
    </row>
    <row r="20" customFormat="false" ht="15" hidden="false" customHeight="false" outlineLevel="0" collapsed="false">
      <c r="A20" s="18" t="n">
        <v>7</v>
      </c>
      <c r="B20" s="19" t="n">
        <f aca="false">15*A20^2+50*A20+0.15*A20^4.1+IF(A20&gt;85,0.025*(A20-85)^5.5,0)</f>
        <v>1522.51527796067</v>
      </c>
      <c r="C20" s="18" t="n">
        <f aca="false">10+(A20-1)*3</f>
        <v>28</v>
      </c>
      <c r="D20" s="18" t="n">
        <f aca="false">(A20-1)*3</f>
        <v>18</v>
      </c>
    </row>
    <row r="21" customFormat="false" ht="15" hidden="false" customHeight="false" outlineLevel="0" collapsed="false">
      <c r="A21" s="18" t="n">
        <v>8</v>
      </c>
      <c r="B21" s="19" t="n">
        <f aca="false">15*A21^2+50*A21+0.15*A21^4.1+IF(A21&gt;85,0.025*(A21-85)^5.5,0)</f>
        <v>2116.41512755912</v>
      </c>
      <c r="C21" s="18" t="n">
        <f aca="false">10+(A21-1)*3</f>
        <v>31</v>
      </c>
      <c r="D21" s="18" t="n">
        <f aca="false">(A21-1)*3</f>
        <v>21</v>
      </c>
    </row>
    <row r="22" customFormat="false" ht="15" hidden="false" customHeight="false" outlineLevel="0" collapsed="false">
      <c r="A22" s="18" t="n">
        <v>9</v>
      </c>
      <c r="B22" s="19" t="n">
        <f aca="false">15*A22^2+50*A22+0.15*A22^4.1+IF(A22&gt;85,0.025*(A22-85)^5.5,0)</f>
        <v>2890.98610422261</v>
      </c>
      <c r="C22" s="18" t="n">
        <f aca="false">10+(A22-1)*3</f>
        <v>34</v>
      </c>
      <c r="D22" s="18" t="n">
        <f aca="false">(A22-1)*3</f>
        <v>24</v>
      </c>
    </row>
    <row r="23" customFormat="false" ht="15" hidden="false" customHeight="false" outlineLevel="0" collapsed="false">
      <c r="A23" s="18" t="n">
        <v>10</v>
      </c>
      <c r="B23" s="19" t="n">
        <f aca="false">15*A23^2+50*A23+0.15*A23^4.1+IF(A23&gt;85,0.025*(A23-85)^5.5,0)</f>
        <v>3888.38811769125</v>
      </c>
      <c r="C23" s="18" t="n">
        <f aca="false">10+(A23-1)*3</f>
        <v>37</v>
      </c>
      <c r="D23" s="18" t="n">
        <f aca="false">(A23-1)*3</f>
        <v>27</v>
      </c>
    </row>
    <row r="24" customFormat="false" ht="15" hidden="false" customHeight="false" outlineLevel="0" collapsed="false">
      <c r="A24" s="18" t="n">
        <v>11</v>
      </c>
      <c r="B24" s="19" t="n">
        <f aca="false">15*A24^2+50*A24+0.15*A24^4.1+IF(A24&gt;85,0.025*(A24-85)^5.5,0)</f>
        <v>5156.26627424375</v>
      </c>
      <c r="C24" s="18" t="n">
        <f aca="false">10+(A24-1)*3</f>
        <v>40</v>
      </c>
      <c r="D24" s="18" t="n">
        <f aca="false">(A24-1)*3</f>
        <v>30</v>
      </c>
    </row>
    <row r="25" customFormat="false" ht="15" hidden="false" customHeight="false" outlineLevel="0" collapsed="false">
      <c r="A25" s="18" t="n">
        <v>12</v>
      </c>
      <c r="B25" s="19" t="n">
        <f aca="false">15*A25^2+50*A25+0.15*A25^4.1+IF(A25&gt;85,0.025*(A25-85)^5.5,0)</f>
        <v>6747.80917144059</v>
      </c>
      <c r="C25" s="18" t="n">
        <f aca="false">10+(A25-1)*3</f>
        <v>43</v>
      </c>
      <c r="D25" s="18" t="n">
        <f aca="false">(A25-1)*3</f>
        <v>33</v>
      </c>
    </row>
    <row r="26" customFormat="false" ht="15" hidden="false" customHeight="false" outlineLevel="0" collapsed="false">
      <c r="A26" s="18" t="n">
        <v>13</v>
      </c>
      <c r="B26" s="19" t="n">
        <f aca="false">15*A26^2+50*A26+0.15*A26^4.1+IF(A26&gt;85,0.025*(A26-85)^5.5,0)</f>
        <v>8721.8021326582</v>
      </c>
      <c r="C26" s="18" t="n">
        <f aca="false">10+(A26-1)*3</f>
        <v>46</v>
      </c>
      <c r="D26" s="18" t="n">
        <f aca="false">(A26-1)*3</f>
        <v>36</v>
      </c>
    </row>
    <row r="27" customFormat="false" ht="15" hidden="false" customHeight="false" outlineLevel="0" collapsed="false">
      <c r="A27" s="18" t="n">
        <v>14</v>
      </c>
      <c r="B27" s="19" t="n">
        <f aca="false">15*A27^2+50*A27+0.15*A27^4.1+IF(A27&gt;85,0.025*(A27-85)^5.5,0)</f>
        <v>11142.676229959</v>
      </c>
      <c r="C27" s="18" t="n">
        <f aca="false">10+(A27-1)*3</f>
        <v>49</v>
      </c>
      <c r="D27" s="18" t="n">
        <f aca="false">(A27-1)*3</f>
        <v>39</v>
      </c>
    </row>
    <row r="28" customFormat="false" ht="15" hidden="false" customHeight="false" outlineLevel="0" collapsed="false">
      <c r="A28" s="18" t="n">
        <v>15</v>
      </c>
      <c r="B28" s="19" t="n">
        <f aca="false">15*A28^2+50*A28+0.15*A28^4.1+IF(A28&gt;85,0.025*(A28-85)^5.5,0)</f>
        <v>14080.5537437081</v>
      </c>
      <c r="C28" s="18" t="n">
        <f aca="false">10+(A28-1)*3</f>
        <v>52</v>
      </c>
      <c r="D28" s="18" t="n">
        <f aca="false">(A28-1)*3</f>
        <v>42</v>
      </c>
    </row>
    <row r="29" customFormat="false" ht="15" hidden="false" customHeight="false" outlineLevel="0" collapsed="false">
      <c r="A29" s="18" t="n">
        <v>16</v>
      </c>
      <c r="B29" s="19" t="n">
        <f aca="false">15*A29^2+50*A29+0.15*A29^4.1+IF(A29&gt;85,0.025*(A29-85)^5.5,0)</f>
        <v>17611.2905660618</v>
      </c>
      <c r="C29" s="18" t="n">
        <f aca="false">10+(A29-1)*3</f>
        <v>55</v>
      </c>
      <c r="D29" s="18" t="n">
        <f aca="false">(A29-1)*3</f>
        <v>45</v>
      </c>
    </row>
    <row r="30" customFormat="false" ht="15" hidden="false" customHeight="false" outlineLevel="0" collapsed="false">
      <c r="A30" s="18" t="n">
        <v>17</v>
      </c>
      <c r="B30" s="19" t="n">
        <f aca="false">15*A30^2+50*A30+0.15*A30^4.1+IF(A30&gt;85,0.025*(A30-85)^5.5,0)</f>
        <v>21816.5159527546</v>
      </c>
      <c r="C30" s="18" t="n">
        <f aca="false">10+(A30-1)*3</f>
        <v>58</v>
      </c>
      <c r="D30" s="18" t="n">
        <f aca="false">(A30-1)*3</f>
        <v>48</v>
      </c>
    </row>
    <row r="31" customFormat="false" ht="15" hidden="false" customHeight="false" outlineLevel="0" collapsed="false">
      <c r="A31" s="18" t="n">
        <v>18</v>
      </c>
      <c r="B31" s="19" t="n">
        <f aca="false">15*A31^2+50*A31+0.15*A31^4.1+IF(A31&gt;85,0.025*(A31-85)^5.5,0)</f>
        <v>26783.6699511048</v>
      </c>
      <c r="C31" s="18" t="n">
        <f aca="false">10+(A31-1)*3</f>
        <v>61</v>
      </c>
      <c r="D31" s="18" t="n">
        <f aca="false">(A31-1)*3</f>
        <v>51</v>
      </c>
    </row>
    <row r="32" customFormat="false" ht="15" hidden="false" customHeight="false" outlineLevel="0" collapsed="false">
      <c r="A32" s="18" t="n">
        <v>19</v>
      </c>
      <c r="B32" s="19" t="n">
        <f aca="false">15*A32^2+50*A32+0.15*A32^4.1+IF(A32&gt;85,0.025*(A32-85)^5.5,0)</f>
        <v>32606.0387739548</v>
      </c>
      <c r="C32" s="18" t="n">
        <f aca="false">10+(A32-1)*3</f>
        <v>64</v>
      </c>
      <c r="D32" s="18" t="n">
        <f aca="false">(A32-1)*3</f>
        <v>54</v>
      </c>
    </row>
    <row r="33" customFormat="false" ht="15" hidden="false" customHeight="false" outlineLevel="0" collapsed="false">
      <c r="A33" s="18" t="n">
        <v>20</v>
      </c>
      <c r="B33" s="19" t="n">
        <f aca="false">15*A33^2+50*A33+0.15*A33^4.1+IF(A33&gt;85,0.025*(A33-85)^5.5,0)</f>
        <v>39382.7883441655</v>
      </c>
      <c r="C33" s="18" t="n">
        <f aca="false">10+(A33-1)*3</f>
        <v>67</v>
      </c>
      <c r="D33" s="18" t="n">
        <f aca="false">(A33-1)*3</f>
        <v>57</v>
      </c>
    </row>
    <row r="34" customFormat="false" ht="15" hidden="false" customHeight="false" outlineLevel="0" collapsed="false">
      <c r="A34" s="18" t="n">
        <v>21</v>
      </c>
      <c r="B34" s="19" t="n">
        <f aca="false">15*A34^2+50*A34+0.15*A34^4.1+IF(A34&gt;85,0.025*(A34-85)^5.5,0)</f>
        <v>47218.9961987889</v>
      </c>
      <c r="C34" s="18" t="n">
        <f aca="false">10+(A34-1)*3</f>
        <v>70</v>
      </c>
      <c r="D34" s="18" t="n">
        <f aca="false">(A34-1)*3</f>
        <v>60</v>
      </c>
    </row>
    <row r="35" customFormat="false" ht="15" hidden="false" customHeight="false" outlineLevel="0" collapsed="false">
      <c r="A35" s="18" t="n">
        <v>22</v>
      </c>
      <c r="B35" s="19" t="n">
        <f aca="false">15*A35^2+50*A35+0.15*A35^4.1+IF(A35&gt;85,0.025*(A35-85)^5.5,0)</f>
        <v>56225.681913712</v>
      </c>
      <c r="C35" s="18" t="n">
        <f aca="false">10+(A35-1)*3</f>
        <v>73</v>
      </c>
      <c r="D35" s="18" t="n">
        <f aca="false">(A35-1)*3</f>
        <v>63</v>
      </c>
    </row>
    <row r="36" customFormat="false" ht="15" hidden="false" customHeight="false" outlineLevel="0" collapsed="false">
      <c r="A36" s="18" t="n">
        <v>23</v>
      </c>
      <c r="B36" s="19" t="n">
        <f aca="false">15*A36^2+50*A36+0.15*A36^4.1+IF(A36&gt;85,0.025*(A36-85)^5.5,0)</f>
        <v>66519.836186661</v>
      </c>
      <c r="C36" s="18" t="n">
        <f aca="false">10+(A36-1)*3</f>
        <v>76</v>
      </c>
      <c r="D36" s="18" t="n">
        <f aca="false">(A36-1)*3</f>
        <v>66</v>
      </c>
    </row>
    <row r="37" customFormat="false" ht="15" hidden="false" customHeight="false" outlineLevel="0" collapsed="false">
      <c r="A37" s="18" t="n">
        <v>24</v>
      </c>
      <c r="B37" s="19" t="n">
        <f aca="false">15*A37^2+50*A37+0.15*A37^4.1+IF(A37&gt;85,0.025*(A37-85)^5.5,0)</f>
        <v>78224.4486977418</v>
      </c>
      <c r="C37" s="18" t="n">
        <f aca="false">10+(A37-1)*3</f>
        <v>79</v>
      </c>
      <c r="D37" s="18" t="n">
        <f aca="false">(A37-1)*3</f>
        <v>69</v>
      </c>
    </row>
    <row r="38" customFormat="false" ht="15" hidden="false" customHeight="false" outlineLevel="0" collapsed="false">
      <c r="A38" s="18" t="n">
        <v>25</v>
      </c>
      <c r="B38" s="19" t="n">
        <f aca="false">15*A38^2+50*A38+0.15*A38^4.1+IF(A38&gt;85,0.025*(A38-85)^5.5,0)</f>
        <v>91468.534851243</v>
      </c>
      <c r="C38" s="18" t="n">
        <f aca="false">10+(A38-1)*3</f>
        <v>82</v>
      </c>
      <c r="D38" s="18" t="n">
        <f aca="false">(A38-1)*3</f>
        <v>72</v>
      </c>
    </row>
    <row r="39" customFormat="false" ht="15" hidden="false" customHeight="false" outlineLevel="0" collapsed="false">
      <c r="A39" s="18" t="n">
        <v>26</v>
      </c>
      <c r="B39" s="19" t="n">
        <f aca="false">15*A39^2+50*A39+0.15*A39^4.1+IF(A39&gt;85,0.025*(A39-85)^5.5,0)</f>
        <v>106387.161489558</v>
      </c>
      <c r="C39" s="18" t="n">
        <f aca="false">10+(A39-1)*3</f>
        <v>85</v>
      </c>
      <c r="D39" s="18" t="n">
        <f aca="false">(A39-1)*3</f>
        <v>75</v>
      </c>
    </row>
    <row r="40" customFormat="false" ht="15" hidden="false" customHeight="false" outlineLevel="0" collapsed="false">
      <c r="A40" s="18" t="n">
        <v>27</v>
      </c>
      <c r="B40" s="19" t="n">
        <f aca="false">15*A40^2+50*A40+0.15*A40^4.1+IF(A40&gt;85,0.025*(A40-85)^5.5,0)</f>
        <v>123121.471659278</v>
      </c>
      <c r="C40" s="18" t="n">
        <f aca="false">10+(A40-1)*3</f>
        <v>88</v>
      </c>
      <c r="D40" s="18" t="n">
        <f aca="false">(A40-1)*3</f>
        <v>78</v>
      </c>
    </row>
    <row r="41" customFormat="false" ht="15" hidden="false" customHeight="false" outlineLevel="0" collapsed="false">
      <c r="A41" s="18" t="n">
        <v>28</v>
      </c>
      <c r="B41" s="19" t="n">
        <f aca="false">15*A41^2+50*A41+0.15*A41^4.1+IF(A41&gt;85,0.025*(A41-85)^5.5,0)</f>
        <v>141818.70850035</v>
      </c>
      <c r="C41" s="18" t="n">
        <f aca="false">10+(A41-1)*3</f>
        <v>91</v>
      </c>
      <c r="D41" s="18" t="n">
        <f aca="false">(A41-1)*3</f>
        <v>81</v>
      </c>
    </row>
    <row r="42" customFormat="false" ht="15" hidden="false" customHeight="false" outlineLevel="0" collapsed="false">
      <c r="A42" s="18" t="n">
        <v>29</v>
      </c>
      <c r="B42" s="19" t="n">
        <f aca="false">15*A42^2+50*A42+0.15*A42^4.1+IF(A42&gt;85,0.025*(A42-85)^5.5,0)</f>
        <v>162632.238321416</v>
      </c>
      <c r="C42" s="18" t="n">
        <f aca="false">10+(A42-1)*3</f>
        <v>94</v>
      </c>
      <c r="D42" s="18" t="n">
        <f aca="false">(A42-1)*3</f>
        <v>84</v>
      </c>
    </row>
    <row r="43" customFormat="false" ht="15" hidden="false" customHeight="false" outlineLevel="0" collapsed="false">
      <c r="A43" s="18" t="n">
        <v>30</v>
      </c>
      <c r="B43" s="19" t="n">
        <f aca="false">15*A43^2+50*A43+0.15*A43^4.1+IF(A43&gt;85,0.025*(A43-85)^5.5,0)</f>
        <v>185721.572917763</v>
      </c>
      <c r="C43" s="18" t="n">
        <f aca="false">10+(A43-1)*3</f>
        <v>97</v>
      </c>
      <c r="D43" s="18" t="n">
        <f aca="false">(A43-1)*3</f>
        <v>87</v>
      </c>
    </row>
    <row r="44" customFormat="false" ht="15" hidden="false" customHeight="false" outlineLevel="0" collapsed="false">
      <c r="A44" s="18" t="n">
        <v>31</v>
      </c>
      <c r="B44" s="19" t="n">
        <f aca="false">15*A44^2+50*A44+0.15*A44^4.1+IF(A44&gt;85,0.025*(A44-85)^5.5,0)</f>
        <v>211252.391182527</v>
      </c>
      <c r="C44" s="18" t="n">
        <f aca="false">10+(A44-1)*3</f>
        <v>100</v>
      </c>
      <c r="D44" s="18" t="n">
        <f aca="false">(A44-1)*3</f>
        <v>90</v>
      </c>
    </row>
    <row r="45" customFormat="false" ht="15" hidden="false" customHeight="false" outlineLevel="0" collapsed="false">
      <c r="A45" s="18" t="n">
        <v>32</v>
      </c>
      <c r="B45" s="19" t="n">
        <f aca="false">15*A45^2+50*A45+0.15*A45^4.1+IF(A45&gt;85,0.025*(A45-85)^5.5,0)</f>
        <v>239396.560056839</v>
      </c>
      <c r="C45" s="18" t="n">
        <f aca="false">10+(A45-1)*3</f>
        <v>103</v>
      </c>
      <c r="D45" s="18" t="n">
        <f aca="false">(A45-1)*3</f>
        <v>93</v>
      </c>
    </row>
    <row r="46" customFormat="false" ht="15" hidden="false" customHeight="false" outlineLevel="0" collapsed="false">
      <c r="A46" s="18" t="n">
        <v>33</v>
      </c>
      <c r="B46" s="19" t="n">
        <f aca="false">15*A46^2+50*A46+0.15*A46^4.1+IF(A46&gt;85,0.025*(A46-85)^5.5,0)</f>
        <v>270332.1548602</v>
      </c>
      <c r="C46" s="18" t="n">
        <f aca="false">10+(A46-1)*3</f>
        <v>106</v>
      </c>
      <c r="D46" s="18" t="n">
        <f aca="false">(A46-1)*3</f>
        <v>96</v>
      </c>
    </row>
    <row r="47" customFormat="false" ht="15" hidden="false" customHeight="false" outlineLevel="0" collapsed="false">
      <c r="A47" s="18" t="n">
        <v>34</v>
      </c>
      <c r="B47" s="19" t="n">
        <f aca="false">15*A47^2+50*A47+0.15*A47^4.1+IF(A47&gt;85,0.025*(A47-85)^5.5,0)</f>
        <v>304243.479038582</v>
      </c>
      <c r="C47" s="18" t="n">
        <f aca="false">10+(A47-1)*3</f>
        <v>109</v>
      </c>
      <c r="D47" s="18" t="n">
        <f aca="false">(A47-1)*3</f>
        <v>99</v>
      </c>
    </row>
    <row r="48" customFormat="false" ht="15" hidden="false" customHeight="false" outlineLevel="0" collapsed="false">
      <c r="A48" s="18" t="n">
        <v>35</v>
      </c>
      <c r="B48" s="19" t="n">
        <f aca="false">15*A48^2+50*A48+0.15*A48^4.1+IF(A48&gt;85,0.025*(A48-85)^5.5,0)</f>
        <v>341321.083364389</v>
      </c>
      <c r="C48" s="18" t="n">
        <f aca="false">10+(A48-1)*3</f>
        <v>112</v>
      </c>
      <c r="D48" s="18" t="n">
        <f aca="false">(A48-1)*3</f>
        <v>102</v>
      </c>
    </row>
    <row r="49" customFormat="false" ht="15" hidden="false" customHeight="false" outlineLevel="0" collapsed="false">
      <c r="A49" s="18" t="n">
        <v>36</v>
      </c>
      <c r="B49" s="19" t="n">
        <f aca="false">15*A49^2+50*A49+0.15*A49^4.1+IF(A49&gt;85,0.025*(A49-85)^5.5,0)</f>
        <v>381761.784619452</v>
      </c>
      <c r="C49" s="18" t="n">
        <f aca="false">10+(A49-1)*3</f>
        <v>115</v>
      </c>
      <c r="D49" s="18" t="n">
        <f aca="false">(A49-1)*3</f>
        <v>105</v>
      </c>
    </row>
    <row r="50" customFormat="false" ht="15" hidden="false" customHeight="false" outlineLevel="0" collapsed="false">
      <c r="A50" s="18" t="n">
        <v>37</v>
      </c>
      <c r="B50" s="19" t="n">
        <f aca="false">15*A50^2+50*A50+0.15*A50^4.1+IF(A50&gt;85,0.025*(A50-85)^5.5,0)</f>
        <v>425768.683789594</v>
      </c>
      <c r="C50" s="18" t="n">
        <f aca="false">10+(A50-1)*3</f>
        <v>118</v>
      </c>
      <c r="D50" s="18" t="n">
        <f aca="false">(A50-1)*3</f>
        <v>108</v>
      </c>
    </row>
    <row r="51" customFormat="false" ht="15" hidden="false" customHeight="false" outlineLevel="0" collapsed="false">
      <c r="A51" s="18" t="n">
        <v>38</v>
      </c>
      <c r="B51" s="19" t="n">
        <f aca="false">15*A51^2+50*A51+0.15*A51^4.1+IF(A51&gt;85,0.025*(A51-85)^5.5,0)</f>
        <v>473551.183796971</v>
      </c>
      <c r="C51" s="18" t="n">
        <f aca="false">10+(A51-1)*3</f>
        <v>121</v>
      </c>
      <c r="D51" s="18" t="n">
        <f aca="false">(A51-1)*3</f>
        <v>111</v>
      </c>
    </row>
    <row r="52" customFormat="false" ht="15" hidden="false" customHeight="false" outlineLevel="0" collapsed="false">
      <c r="A52" s="18" t="n">
        <v>39</v>
      </c>
      <c r="B52" s="19" t="n">
        <f aca="false">15*A52^2+50*A52+0.15*A52^4.1+IF(A52&gt;85,0.025*(A52-85)^5.5,0)</f>
        <v>525325.006794313</v>
      </c>
      <c r="C52" s="18" t="n">
        <f aca="false">10+(A52-1)*3</f>
        <v>124</v>
      </c>
      <c r="D52" s="18" t="n">
        <f aca="false">(A52-1)*3</f>
        <v>114</v>
      </c>
    </row>
    <row r="53" customFormat="false" ht="15" hidden="false" customHeight="false" outlineLevel="0" collapsed="false">
      <c r="A53" s="18" t="n">
        <v>40</v>
      </c>
      <c r="B53" s="19" t="n">
        <f aca="false">15*A53^2+50*A53+0.15*A53^4.1+IF(A53&gt;85,0.025*(A53-85)^5.5,0)</f>
        <v>581312.211043298</v>
      </c>
      <c r="C53" s="18" t="n">
        <f aca="false">10+(A53-1)*3</f>
        <v>127</v>
      </c>
      <c r="D53" s="18" t="n">
        <f aca="false">(A53-1)*3</f>
        <v>117</v>
      </c>
    </row>
    <row r="54" customFormat="false" ht="15" hidden="false" customHeight="false" outlineLevel="0" collapsed="false">
      <c r="A54" s="18" t="n">
        <v>41</v>
      </c>
      <c r="B54" s="19" t="n">
        <f aca="false">15*A54^2+50*A54+0.15*A54^4.1+IF(A54&gt;85,0.025*(A54-85)^5.5,0)</f>
        <v>641741.207397649</v>
      </c>
      <c r="C54" s="18" t="n">
        <f aca="false">10+(A54-1)*3</f>
        <v>130</v>
      </c>
      <c r="D54" s="18" t="n">
        <f aca="false">(A54-1)*3</f>
        <v>120</v>
      </c>
    </row>
    <row r="55" customFormat="false" ht="15" hidden="false" customHeight="false" outlineLevel="0" collapsed="false">
      <c r="A55" s="18" t="n">
        <v>42</v>
      </c>
      <c r="B55" s="19" t="n">
        <f aca="false">15*A55^2+50*A55+0.15*A55^4.1+IF(A55&gt;85,0.025*(A55-85)^5.5,0)</f>
        <v>706846.775409973</v>
      </c>
      <c r="C55" s="18" t="n">
        <f aca="false">10+(A55-1)*3</f>
        <v>133</v>
      </c>
      <c r="D55" s="18" t="n">
        <f aca="false">(A55-1)*3</f>
        <v>123</v>
      </c>
    </row>
    <row r="56" customFormat="false" ht="15" hidden="false" customHeight="false" outlineLevel="0" collapsed="false">
      <c r="A56" s="18" t="n">
        <v>43</v>
      </c>
      <c r="B56" s="19" t="n">
        <f aca="false">15*A56^2+50*A56+0.15*A56^4.1+IF(A56&gt;85,0.025*(A56-85)^5.5,0)</f>
        <v>776870.079080069</v>
      </c>
      <c r="C56" s="18" t="n">
        <f aca="false">10+(A56-1)*3</f>
        <v>136</v>
      </c>
      <c r="D56" s="18" t="n">
        <f aca="false">(A56-1)*3</f>
        <v>126</v>
      </c>
    </row>
    <row r="57" customFormat="false" ht="15" hidden="false" customHeight="false" outlineLevel="0" collapsed="false">
      <c r="A57" s="18" t="n">
        <v>44</v>
      </c>
      <c r="B57" s="19" t="n">
        <f aca="false">15*A57^2+50*A57+0.15*A57^4.1+IF(A57&gt;85,0.025*(A57-85)^5.5,0)</f>
        <v>852058.682261119</v>
      </c>
      <c r="C57" s="18" t="n">
        <f aca="false">10+(A57-1)*3</f>
        <v>139</v>
      </c>
      <c r="D57" s="18" t="n">
        <f aca="false">(A57-1)*3</f>
        <v>129</v>
      </c>
    </row>
    <row r="58" customFormat="false" ht="15" hidden="false" customHeight="false" outlineLevel="0" collapsed="false">
      <c r="A58" s="18" t="n">
        <v>45</v>
      </c>
      <c r="B58" s="19" t="n">
        <f aca="false">15*A58^2+50*A58+0.15*A58^4.1+IF(A58&gt;85,0.025*(A58-85)^5.5,0)</f>
        <v>932666.5637391</v>
      </c>
      <c r="C58" s="18" t="n">
        <f aca="false">10+(A58-1)*3</f>
        <v>142</v>
      </c>
      <c r="D58" s="18" t="n">
        <f aca="false">(A58-1)*3</f>
        <v>132</v>
      </c>
    </row>
    <row r="59" customFormat="false" ht="15" hidden="false" customHeight="false" outlineLevel="0" collapsed="false">
      <c r="A59" s="18" t="n">
        <v>46</v>
      </c>
      <c r="B59" s="19" t="n">
        <f aca="false">15*A59^2+50*A59+0.15*A59^4.1+IF(A59&gt;85,0.025*(A59-85)^5.5,0)</f>
        <v>1018954.13199972</v>
      </c>
      <c r="C59" s="18" t="n">
        <f aca="false">10+(A59-1)*3</f>
        <v>145</v>
      </c>
      <c r="D59" s="18" t="n">
        <f aca="false">(A59-1)*3</f>
        <v>135</v>
      </c>
    </row>
    <row r="60" customFormat="false" ht="15" hidden="false" customHeight="false" outlineLevel="0" collapsed="false">
      <c r="A60" s="18" t="n">
        <v>47</v>
      </c>
      <c r="B60" s="19" t="n">
        <f aca="false">15*A60^2+50*A60+0.15*A60^4.1+IF(A60&gt;85,0.025*(A60-85)^5.5,0)</f>
        <v>1111188.23969623</v>
      </c>
      <c r="C60" s="18" t="n">
        <f aca="false">10+(A60-1)*3</f>
        <v>148</v>
      </c>
      <c r="D60" s="18" t="n">
        <f aca="false">(A60-1)*3</f>
        <v>138</v>
      </c>
    </row>
    <row r="61" customFormat="false" ht="15" hidden="false" customHeight="false" outlineLevel="0" collapsed="false">
      <c r="A61" s="18" t="n">
        <v>48</v>
      </c>
      <c r="B61" s="19" t="n">
        <f aca="false">15*A61^2+50*A61+0.15*A61^4.1+IF(A61&gt;85,0.025*(A61-85)^5.5,0)</f>
        <v>1209642.19783063</v>
      </c>
      <c r="C61" s="18" t="n">
        <f aca="false">10+(A61-1)*3</f>
        <v>151</v>
      </c>
      <c r="D61" s="18" t="n">
        <f aca="false">(A61-1)*3</f>
        <v>141</v>
      </c>
    </row>
    <row r="62" customFormat="false" ht="15" hidden="false" customHeight="false" outlineLevel="0" collapsed="false">
      <c r="A62" s="18" t="n">
        <v>49</v>
      </c>
      <c r="B62" s="19" t="n">
        <f aca="false">15*A62^2+50*A62+0.15*A62^4.1+IF(A62&gt;85,0.025*(A62-85)^5.5,0)</f>
        <v>1314595.78966001</v>
      </c>
      <c r="C62" s="18" t="n">
        <f aca="false">10+(A62-1)*3</f>
        <v>154</v>
      </c>
      <c r="D62" s="18" t="n">
        <f aca="false">(A62-1)*3</f>
        <v>144</v>
      </c>
    </row>
    <row r="63" customFormat="false" ht="15" hidden="false" customHeight="false" outlineLevel="0" collapsed="false">
      <c r="A63" s="18" t="n">
        <v>50</v>
      </c>
      <c r="B63" s="19" t="n">
        <f aca="false">15*A63^2+50*A63+0.15*A63^4.1+IF(A63&gt;85,0.025*(A63-85)^5.5,0)</f>
        <v>1426335.28433904</v>
      </c>
      <c r="C63" s="18" t="n">
        <f aca="false">10+(A63-1)*3</f>
        <v>157</v>
      </c>
      <c r="D63" s="18" t="n">
        <f aca="false">(A63-1)*3</f>
        <v>147</v>
      </c>
    </row>
    <row r="64" customFormat="false" ht="15" hidden="false" customHeight="false" outlineLevel="0" collapsed="false">
      <c r="A64" s="18" t="n">
        <v>51</v>
      </c>
      <c r="B64" s="19" t="n">
        <f aca="false">15*A64^2+50*A64+0.15*A64^4.1+IF(A64&gt;85,0.025*(A64-85)^5.5,0)</f>
        <v>1545153.4503089</v>
      </c>
      <c r="C64" s="18" t="n">
        <f aca="false">10+(A64-1)*3</f>
        <v>160</v>
      </c>
      <c r="D64" s="18" t="n">
        <f aca="false">(A64-1)*3</f>
        <v>150</v>
      </c>
    </row>
    <row r="65" customFormat="false" ht="15" hidden="false" customHeight="false" outlineLevel="0" collapsed="false">
      <c r="A65" s="18" t="n">
        <v>52</v>
      </c>
      <c r="B65" s="19" t="n">
        <f aca="false">15*A65^2+50*A65+0.15*A65^4.1+IF(A65&gt;85,0.025*(A65-85)^5.5,0)</f>
        <v>1671349.56844251</v>
      </c>
      <c r="C65" s="18" t="n">
        <f aca="false">10+(A65-1)*3</f>
        <v>163</v>
      </c>
      <c r="D65" s="18" t="n">
        <f aca="false">(A65-1)*3</f>
        <v>153</v>
      </c>
    </row>
    <row r="66" customFormat="false" ht="15" hidden="false" customHeight="false" outlineLevel="0" collapsed="false">
      <c r="A66" s="18" t="n">
        <v>53</v>
      </c>
      <c r="B66" s="19" t="n">
        <f aca="false">15*A66^2+50*A66+0.15*A66^4.1+IF(A66&gt;85,0.025*(A66-85)^5.5,0)</f>
        <v>1805229.44495514</v>
      </c>
      <c r="C66" s="18" t="n">
        <f aca="false">10+(A66-1)*3</f>
        <v>166</v>
      </c>
      <c r="D66" s="18" t="n">
        <f aca="false">(A66-1)*3</f>
        <v>156</v>
      </c>
    </row>
    <row r="67" customFormat="false" ht="15" hidden="false" customHeight="false" outlineLevel="0" collapsed="false">
      <c r="A67" s="18" t="n">
        <v>54</v>
      </c>
      <c r="B67" s="19" t="n">
        <f aca="false">15*A67^2+50*A67+0.15*A67^4.1+IF(A67&gt;85,0.025*(A67-85)^5.5,0)</f>
        <v>1947105.42408913</v>
      </c>
      <c r="C67" s="18" t="n">
        <f aca="false">10+(A67-1)*3</f>
        <v>169</v>
      </c>
      <c r="D67" s="18" t="n">
        <f aca="false">(A67-1)*3</f>
        <v>159</v>
      </c>
    </row>
    <row r="68" customFormat="false" ht="15" hidden="false" customHeight="false" outlineLevel="0" collapsed="false">
      <c r="A68" s="18" t="n">
        <v>55</v>
      </c>
      <c r="B68" s="19" t="n">
        <f aca="false">15*A68^2+50*A68+0.15*A68^4.1+IF(A68&gt;85,0.025*(A68-85)^5.5,0)</f>
        <v>2097296.40058089</v>
      </c>
      <c r="C68" s="18" t="n">
        <f aca="false">10+(A68-1)*3</f>
        <v>172</v>
      </c>
      <c r="D68" s="18" t="n">
        <f aca="false">(A68-1)*3</f>
        <v>162</v>
      </c>
    </row>
    <row r="69" customFormat="false" ht="15" hidden="false" customHeight="false" outlineLevel="0" collapsed="false">
      <c r="A69" s="18" t="n">
        <v>56</v>
      </c>
      <c r="B69" s="19" t="n">
        <f aca="false">15*A69^2+50*A69+0.15*A69^4.1+IF(A69&gt;85,0.025*(A69-85)^5.5,0)</f>
        <v>2256127.83191788</v>
      </c>
      <c r="C69" s="18" t="n">
        <f aca="false">10+(A69-1)*3</f>
        <v>175</v>
      </c>
      <c r="D69" s="18" t="n">
        <f aca="false">(A69-1)*3</f>
        <v>165</v>
      </c>
    </row>
    <row r="70" customFormat="false" ht="15" hidden="false" customHeight="false" outlineLevel="0" collapsed="false">
      <c r="A70" s="18" t="n">
        <v>57</v>
      </c>
      <c r="B70" s="19" t="n">
        <f aca="false">15*A70^2+50*A70+0.15*A70^4.1+IF(A70&gt;85,0.025*(A70-85)^5.5,0)</f>
        <v>2423931.75039299</v>
      </c>
      <c r="C70" s="18" t="n">
        <f aca="false">10+(A70-1)*3</f>
        <v>178</v>
      </c>
      <c r="D70" s="18" t="n">
        <f aca="false">(A70-1)*3</f>
        <v>168</v>
      </c>
    </row>
    <row r="71" customFormat="false" ht="15" hidden="false" customHeight="false" outlineLevel="0" collapsed="false">
      <c r="A71" s="18" t="n">
        <v>58</v>
      </c>
      <c r="B71" s="19" t="n">
        <f aca="false">15*A71^2+50*A71+0.15*A71^4.1+IF(A71&gt;85,0.025*(A71-85)^5.5,0)</f>
        <v>2601046.77496318</v>
      </c>
      <c r="C71" s="18" t="n">
        <f aca="false">10+(A71-1)*3</f>
        <v>181</v>
      </c>
      <c r="D71" s="18" t="n">
        <f aca="false">(A71-1)*3</f>
        <v>171</v>
      </c>
    </row>
    <row r="72" customFormat="false" ht="15" hidden="false" customHeight="false" outlineLevel="0" collapsed="false">
      <c r="A72" s="18" t="n">
        <v>59</v>
      </c>
      <c r="B72" s="19" t="n">
        <f aca="false">15*A72^2+50*A72+0.15*A72^4.1+IF(A72&gt;85,0.025*(A72-85)^5.5,0)</f>
        <v>2787818.12291903</v>
      </c>
      <c r="C72" s="18" t="n">
        <f aca="false">10+(A72-1)*3</f>
        <v>184</v>
      </c>
      <c r="D72" s="18" t="n">
        <f aca="false">(A72-1)*3</f>
        <v>174</v>
      </c>
    </row>
    <row r="73" customFormat="false" ht="15" hidden="false" customHeight="false" outlineLevel="0" collapsed="false">
      <c r="A73" s="18" t="n">
        <v>60</v>
      </c>
      <c r="B73" s="19" t="n">
        <f aca="false">15*A73^2+50*A73+0.15*A73^4.1+IF(A73&gt;85,0.025*(A73-85)^5.5,0)</f>
        <v>2984597.62137141</v>
      </c>
      <c r="C73" s="18" t="n">
        <f aca="false">10+(A73-1)*3</f>
        <v>187</v>
      </c>
      <c r="D73" s="18" t="n">
        <f aca="false">(A73-1)*3</f>
        <v>177</v>
      </c>
    </row>
    <row r="74" customFormat="false" ht="15" hidden="false" customHeight="false" outlineLevel="0" collapsed="false">
      <c r="A74" s="18" t="n">
        <v>61</v>
      </c>
      <c r="B74" s="19" t="n">
        <f aca="false">15*A74^2+50*A74+0.15*A74^4.1+IF(A74&gt;85,0.025*(A74-85)^5.5,0)</f>
        <v>3191743.71856123</v>
      </c>
      <c r="C74" s="18" t="n">
        <f aca="false">10+(A74-1)*3</f>
        <v>190</v>
      </c>
      <c r="D74" s="18" t="n">
        <f aca="false">(A74-1)*3</f>
        <v>180</v>
      </c>
    </row>
    <row r="75" customFormat="false" ht="15" hidden="false" customHeight="false" outlineLevel="0" collapsed="false">
      <c r="A75" s="18" t="n">
        <v>62</v>
      </c>
      <c r="B75" s="19" t="n">
        <f aca="false">15*A75^2+50*A75+0.15*A75^4.1+IF(A75&gt;85,0.025*(A75-85)^5.5,0)</f>
        <v>3409621.49499802</v>
      </c>
      <c r="C75" s="18" t="n">
        <f aca="false">10+(A75-1)*3</f>
        <v>193</v>
      </c>
      <c r="D75" s="18" t="n">
        <f aca="false">(A75-1)*3</f>
        <v>183</v>
      </c>
    </row>
    <row r="76" customFormat="false" ht="15" hidden="false" customHeight="false" outlineLevel="0" collapsed="false">
      <c r="A76" s="18" t="n">
        <v>63</v>
      </c>
      <c r="B76" s="19" t="n">
        <f aca="false">15*A76^2+50*A76+0.15*A76^4.1+IF(A76&gt;85,0.025*(A76-85)^5.5,0)</f>
        <v>3638602.67443249</v>
      </c>
      <c r="C76" s="18" t="n">
        <f aca="false">10+(A76-1)*3</f>
        <v>196</v>
      </c>
      <c r="D76" s="18" t="n">
        <f aca="false">(A76-1)*3</f>
        <v>186</v>
      </c>
    </row>
    <row r="77" customFormat="false" ht="15" hidden="false" customHeight="false" outlineLevel="0" collapsed="false">
      <c r="A77" s="18" t="n">
        <v>64</v>
      </c>
      <c r="B77" s="19" t="n">
        <f aca="false">15*A77^2+50*A77+0.15*A77^4.1+IF(A77&gt;85,0.025*(A77-85)^5.5,0)</f>
        <v>3879065.63466849</v>
      </c>
      <c r="C77" s="18" t="n">
        <f aca="false">10+(A77-1)*3</f>
        <v>199</v>
      </c>
      <c r="D77" s="18" t="n">
        <f aca="false">(A77-1)*3</f>
        <v>189</v>
      </c>
    </row>
    <row r="78" customFormat="false" ht="15" hidden="false" customHeight="false" outlineLevel="0" collapsed="false">
      <c r="A78" s="18" t="n">
        <v>65</v>
      </c>
      <c r="B78" s="19" t="n">
        <f aca="false">15*A78^2+50*A78+0.15*A78^4.1+IF(A78&gt;85,0.025*(A78-85)^5.5,0)</f>
        <v>4131395.41821903</v>
      </c>
      <c r="C78" s="18" t="n">
        <f aca="false">10+(A78-1)*3</f>
        <v>202</v>
      </c>
      <c r="D78" s="18" t="n">
        <f aca="false">(A78-1)*3</f>
        <v>192</v>
      </c>
    </row>
    <row r="79" customFormat="false" ht="15" hidden="false" customHeight="false" outlineLevel="0" collapsed="false">
      <c r="A79" s="18" t="n">
        <v>66</v>
      </c>
      <c r="B79" s="19" t="n">
        <f aca="false">15*A79^2+50*A79+0.15*A79^4.1+IF(A79&gt;85,0.025*(A79-85)^5.5,0)</f>
        <v>4395983.74281119</v>
      </c>
      <c r="C79" s="18" t="n">
        <f aca="false">10+(A79-1)*3</f>
        <v>205</v>
      </c>
      <c r="D79" s="18" t="n">
        <f aca="false">(A79-1)*3</f>
        <v>195</v>
      </c>
    </row>
    <row r="80" customFormat="false" ht="15" hidden="false" customHeight="false" outlineLevel="0" collapsed="false">
      <c r="A80" s="18" t="n">
        <v>67</v>
      </c>
      <c r="B80" s="19" t="n">
        <f aca="false">15*A80^2+50*A80+0.15*A80^4.1+IF(A80&gt;85,0.025*(A80-85)^5.5,0)</f>
        <v>4673229.01174421</v>
      </c>
      <c r="C80" s="18" t="n">
        <f aca="false">10+(A80-1)*3</f>
        <v>208</v>
      </c>
      <c r="D80" s="18" t="n">
        <f aca="false">(A80-1)*3</f>
        <v>198</v>
      </c>
    </row>
    <row r="81" customFormat="false" ht="15" hidden="false" customHeight="false" outlineLevel="0" collapsed="false">
      <c r="A81" s="18" t="n">
        <v>68</v>
      </c>
      <c r="B81" s="19" t="n">
        <f aca="false">15*A81^2+50*A81+0.15*A81^4.1+IF(A81&gt;85,0.025*(A81-85)^5.5,0)</f>
        <v>4963536.32410525</v>
      </c>
      <c r="C81" s="18" t="n">
        <f aca="false">10+(A81-1)*3</f>
        <v>211</v>
      </c>
      <c r="D81" s="18" t="n">
        <f aca="false">(A81-1)*3</f>
        <v>201</v>
      </c>
    </row>
    <row r="82" customFormat="false" ht="15" hidden="false" customHeight="false" outlineLevel="0" collapsed="false">
      <c r="A82" s="18" t="n">
        <v>69</v>
      </c>
      <c r="B82" s="19" t="n">
        <f aca="false">15*A82^2+50*A82+0.15*A82^4.1+IF(A82&gt;85,0.025*(A82-85)^5.5,0)</f>
        <v>5267317.48484665</v>
      </c>
      <c r="C82" s="18" t="n">
        <f aca="false">10+(A82-1)*3</f>
        <v>214</v>
      </c>
      <c r="D82" s="18" t="n">
        <f aca="false">(A82-1)*3</f>
        <v>204</v>
      </c>
    </row>
    <row r="83" customFormat="false" ht="15" hidden="false" customHeight="false" outlineLevel="0" collapsed="false">
      <c r="A83" s="18" t="n">
        <v>70</v>
      </c>
      <c r="B83" s="19" t="n">
        <f aca="false">15*A83^2+50*A83+0.15*A83^4.1+IF(A83&gt;85,0.025*(A83-85)^5.5,0)</f>
        <v>5584991.01472875</v>
      </c>
      <c r="C83" s="18" t="n">
        <f aca="false">10+(A83-1)*3</f>
        <v>217</v>
      </c>
      <c r="D83" s="18" t="n">
        <f aca="false">(A83-1)*3</f>
        <v>207</v>
      </c>
    </row>
    <row r="84" customFormat="false" ht="15" hidden="false" customHeight="false" outlineLevel="0" collapsed="false">
      <c r="A84" s="18" t="n">
        <v>71</v>
      </c>
      <c r="B84" s="19" t="n">
        <f aca="false">15*A84^2+50*A84+0.15*A84^4.1+IF(A84&gt;85,0.025*(A84-85)^5.5,0)</f>
        <v>5916982.16013197</v>
      </c>
      <c r="C84" s="18" t="n">
        <f aca="false">10+(A84-1)*3</f>
        <v>220</v>
      </c>
      <c r="D84" s="18" t="n">
        <f aca="false">(A84-1)*3</f>
        <v>210</v>
      </c>
    </row>
    <row r="85" customFormat="false" ht="15" hidden="false" customHeight="false" outlineLevel="0" collapsed="false">
      <c r="A85" s="18" t="n">
        <v>72</v>
      </c>
      <c r="B85" s="19" t="n">
        <f aca="false">15*A85^2+50*A85+0.15*A85^4.1+IF(A85&gt;85,0.025*(A85-85)^5.5,0)</f>
        <v>6263722.90274166</v>
      </c>
      <c r="C85" s="18" t="n">
        <f aca="false">10+(A85-1)*3</f>
        <v>223</v>
      </c>
      <c r="D85" s="18" t="n">
        <f aca="false">(A85-1)*3</f>
        <v>213</v>
      </c>
    </row>
    <row r="86" customFormat="false" ht="15" hidden="false" customHeight="false" outlineLevel="0" collapsed="false">
      <c r="A86" s="18" t="n">
        <v>73</v>
      </c>
      <c r="B86" s="19" t="n">
        <f aca="false">15*A86^2+50*A86+0.15*A86^4.1+IF(A86&gt;85,0.025*(A86-85)^5.5,0)</f>
        <v>6625651.96910929</v>
      </c>
      <c r="C86" s="18" t="n">
        <f aca="false">10+(A86-1)*3</f>
        <v>226</v>
      </c>
      <c r="D86" s="18" t="n">
        <f aca="false">(A86-1)*3</f>
        <v>216</v>
      </c>
    </row>
    <row r="87" customFormat="false" ht="15" hidden="false" customHeight="false" outlineLevel="0" collapsed="false">
      <c r="A87" s="18" t="n">
        <v>74</v>
      </c>
      <c r="B87" s="19" t="n">
        <f aca="false">15*A87^2+50*A87+0.15*A87^4.1+IF(A87&gt;85,0.025*(A87-85)^5.5,0)</f>
        <v>7003214.84009309</v>
      </c>
      <c r="C87" s="18" t="n">
        <f aca="false">10+(A87-1)*3</f>
        <v>229</v>
      </c>
      <c r="D87" s="18" t="n">
        <f aca="false">(A87-1)*3</f>
        <v>219</v>
      </c>
    </row>
    <row r="88" customFormat="false" ht="15" hidden="false" customHeight="false" outlineLevel="0" collapsed="false">
      <c r="A88" s="18" t="n">
        <v>75</v>
      </c>
      <c r="B88" s="19" t="n">
        <f aca="false">15*A88^2+50*A88+0.15*A88^4.1+IF(A88&gt;85,0.025*(A88-85)^5.5,0)</f>
        <v>7396863.76018148</v>
      </c>
      <c r="C88" s="18" t="n">
        <f aca="false">10+(A88-1)*3</f>
        <v>232</v>
      </c>
      <c r="D88" s="18" t="n">
        <f aca="false">(A88-1)*3</f>
        <v>222</v>
      </c>
    </row>
    <row r="89" customFormat="false" ht="15" hidden="false" customHeight="false" outlineLevel="0" collapsed="false">
      <c r="A89" s="18" t="n">
        <v>76</v>
      </c>
      <c r="B89" s="19" t="n">
        <f aca="false">15*A89^2+50*A89+0.15*A89^4.1+IF(A89&gt;85,0.025*(A89-85)^5.5,0)</f>
        <v>7807057.74670216</v>
      </c>
      <c r="C89" s="18" t="n">
        <f aca="false">10+(A89-1)*3</f>
        <v>235</v>
      </c>
      <c r="D89" s="18" t="n">
        <f aca="false">(A89-1)*3</f>
        <v>225</v>
      </c>
    </row>
    <row r="90" customFormat="false" ht="15" hidden="false" customHeight="false" outlineLevel="0" collapsed="false">
      <c r="A90" s="18" t="n">
        <v>77</v>
      </c>
      <c r="B90" s="19" t="n">
        <f aca="false">15*A90^2+50*A90+0.15*A90^4.1+IF(A90&gt;85,0.025*(A90-85)^5.5,0)</f>
        <v>8234262.59891997</v>
      </c>
      <c r="C90" s="18" t="n">
        <f aca="false">10+(A90-1)*3</f>
        <v>238</v>
      </c>
      <c r="D90" s="18" t="n">
        <f aca="false">(A90-1)*3</f>
        <v>228</v>
      </c>
    </row>
    <row r="91" customFormat="false" ht="15" hidden="false" customHeight="false" outlineLevel="0" collapsed="false">
      <c r="A91" s="18" t="n">
        <v>78</v>
      </c>
      <c r="B91" s="19" t="n">
        <f aca="false">15*A91^2+50*A91+0.15*A91^4.1+IF(A91&gt;85,0.025*(A91-85)^5.5,0)</f>
        <v>8678950.90702609</v>
      </c>
      <c r="C91" s="18" t="n">
        <f aca="false">10+(A91-1)*3</f>
        <v>241</v>
      </c>
      <c r="D91" s="18" t="n">
        <f aca="false">(A91-1)*3</f>
        <v>231</v>
      </c>
    </row>
    <row r="92" customFormat="false" ht="15" hidden="false" customHeight="false" outlineLevel="0" collapsed="false">
      <c r="A92" s="18" t="n">
        <v>79</v>
      </c>
      <c r="B92" s="19" t="n">
        <f aca="false">15*A92^2+50*A92+0.15*A92^4.1+IF(A92&gt;85,0.025*(A92-85)^5.5,0)</f>
        <v>9141602.06102146</v>
      </c>
      <c r="C92" s="18" t="n">
        <f aca="false">10+(A92-1)*3</f>
        <v>244</v>
      </c>
      <c r="D92" s="18" t="n">
        <f aca="false">(A92-1)*3</f>
        <v>234</v>
      </c>
    </row>
    <row r="93" customFormat="false" ht="15" hidden="false" customHeight="false" outlineLevel="0" collapsed="false">
      <c r="A93" s="18" t="n">
        <v>80</v>
      </c>
      <c r="B93" s="19" t="n">
        <f aca="false">15*A93^2+50*A93+0.15*A93^4.1+IF(A93&gt;85,0.025*(A93-85)^5.5,0)</f>
        <v>9622702.25949697</v>
      </c>
      <c r="C93" s="18" t="n">
        <f aca="false">10+(A93-1)*3</f>
        <v>247</v>
      </c>
      <c r="D93" s="18" t="n">
        <f aca="false">(A93-1)*3</f>
        <v>237</v>
      </c>
    </row>
    <row r="94" customFormat="false" ht="15" hidden="false" customHeight="false" outlineLevel="0" collapsed="false">
      <c r="A94" s="18" t="n">
        <v>81</v>
      </c>
      <c r="B94" s="19" t="n">
        <f aca="false">15*A94^2+50*A94+0.15*A94^4.1+IF(A94&gt;85,0.025*(A94-85)^5.5,0)</f>
        <v>10122744.5183129</v>
      </c>
      <c r="C94" s="18" t="n">
        <f aca="false">10+(A94-1)*3</f>
        <v>250</v>
      </c>
      <c r="D94" s="18" t="n">
        <f aca="false">(A94-1)*3</f>
        <v>240</v>
      </c>
    </row>
    <row r="95" customFormat="false" ht="15" hidden="false" customHeight="false" outlineLevel="0" collapsed="false">
      <c r="A95" s="18" t="n">
        <v>82</v>
      </c>
      <c r="B95" s="19" t="n">
        <f aca="false">15*A95^2+50*A95+0.15*A95^4.1+IF(A95&gt;85,0.025*(A95-85)^5.5,0)</f>
        <v>10642228.67918</v>
      </c>
      <c r="C95" s="18" t="n">
        <f aca="false">10+(A95-1)*3</f>
        <v>253</v>
      </c>
      <c r="D95" s="18" t="n">
        <f aca="false">(A95-1)*3</f>
        <v>243</v>
      </c>
    </row>
    <row r="96" customFormat="false" ht="15" hidden="false" customHeight="false" outlineLevel="0" collapsed="false">
      <c r="A96" s="18" t="n">
        <v>83</v>
      </c>
      <c r="B96" s="19" t="n">
        <f aca="false">15*A96^2+50*A96+0.15*A96^4.1+IF(A96&gt;85,0.025*(A96-85)^5.5,0)</f>
        <v>11181661.4181445</v>
      </c>
      <c r="C96" s="18" t="n">
        <f aca="false">10+(A96-1)*3</f>
        <v>256</v>
      </c>
      <c r="D96" s="18" t="n">
        <f aca="false">(A96-1)*3</f>
        <v>246</v>
      </c>
    </row>
    <row r="97" customFormat="false" ht="15" hidden="false" customHeight="false" outlineLevel="0" collapsed="false">
      <c r="A97" s="18" t="n">
        <v>84</v>
      </c>
      <c r="B97" s="19" t="n">
        <f aca="false">15*A97^2+50*A97+0.15*A97^4.1+IF(A97&gt;85,0.025*(A97-85)^5.5,0)</f>
        <v>11741556.2539796</v>
      </c>
      <c r="C97" s="18" t="n">
        <f aca="false">10+(A97-1)*3</f>
        <v>259</v>
      </c>
      <c r="D97" s="18" t="n">
        <f aca="false">(A97-1)*3</f>
        <v>249</v>
      </c>
    </row>
    <row r="98" customFormat="false" ht="15" hidden="false" customHeight="false" outlineLevel="0" collapsed="false">
      <c r="A98" s="18" t="n">
        <v>85</v>
      </c>
      <c r="B98" s="19" t="n">
        <f aca="false">15*A98^2+50*A98+0.15*A98^4.1+IF(A98&gt;85,0.025*(A98-85)^5.5,0)</f>
        <v>12322433.5564851</v>
      </c>
      <c r="C98" s="18" t="n">
        <f aca="false">10+(A98-1)*3</f>
        <v>262</v>
      </c>
      <c r="D98" s="18" t="n">
        <f aca="false">(A98-1)*3</f>
        <v>252</v>
      </c>
    </row>
    <row r="99" customFormat="false" ht="15" hidden="false" customHeight="false" outlineLevel="0" collapsed="false">
      <c r="A99" s="18" t="n">
        <v>86</v>
      </c>
      <c r="B99" s="19" t="n">
        <f aca="false">15*A99^2+50*A99+0.15*A99^4.1+IF(A99&gt;85,0.025*(A99-85)^5.5,0)</f>
        <v>12924820.5796975</v>
      </c>
      <c r="C99" s="18" t="n">
        <f aca="false">10+(A99-1)*3</f>
        <v>265</v>
      </c>
      <c r="D99" s="18" t="n">
        <f aca="false">(A99-1)*3</f>
        <v>255</v>
      </c>
    </row>
    <row r="100" customFormat="false" ht="15" hidden="false" customHeight="false" outlineLevel="0" collapsed="false">
      <c r="A100" s="18" t="n">
        <v>87</v>
      </c>
      <c r="B100" s="19" t="n">
        <f aca="false">15*A100^2+50*A100+0.15*A100^4.1+IF(A100&gt;85,0.025*(A100-85)^5.5,0)</f>
        <v>13549252.4763836</v>
      </c>
      <c r="C100" s="18" t="n">
        <f aca="false">10+(A100-1)*3</f>
        <v>268</v>
      </c>
      <c r="D100" s="18" t="n">
        <f aca="false">(A100-1)*3</f>
        <v>258</v>
      </c>
    </row>
    <row r="101" customFormat="false" ht="15" hidden="false" customHeight="false" outlineLevel="0" collapsed="false">
      <c r="A101" s="18" t="n">
        <v>88</v>
      </c>
      <c r="B101" s="19" t="n">
        <f aca="false">15*A101^2+50*A101+0.15*A101^4.1+IF(A101&gt;85,0.025*(A101-85)^5.5,0)</f>
        <v>14196277.4214323</v>
      </c>
      <c r="C101" s="18" t="n">
        <f aca="false">10+(A101-1)*3</f>
        <v>271</v>
      </c>
      <c r="D101" s="18" t="n">
        <f aca="false">(A101-1)*3</f>
        <v>261</v>
      </c>
    </row>
    <row r="102" customFormat="false" ht="15" hidden="false" customHeight="false" outlineLevel="0" collapsed="false">
      <c r="A102" s="18" t="n">
        <v>89</v>
      </c>
      <c r="B102" s="19" t="n">
        <f aca="false">15*A102^2+50*A102+0.15*A102^4.1+IF(A102&gt;85,0.025*(A102-85)^5.5,0)</f>
        <v>14866466.2724725</v>
      </c>
      <c r="C102" s="18" t="n">
        <f aca="false">10+(A102-1)*3</f>
        <v>274</v>
      </c>
      <c r="D102" s="18" t="n">
        <f aca="false">(A102-1)*3</f>
        <v>264</v>
      </c>
    </row>
    <row r="103" customFormat="false" ht="15" hidden="false" customHeight="false" outlineLevel="0" collapsed="false">
      <c r="A103" s="18" t="n">
        <v>90</v>
      </c>
      <c r="B103" s="19" t="n">
        <f aca="false">15*A103^2+50*A103+0.15*A103^4.1+IF(A103&gt;85,0.025*(A103-85)^5.5,0)</f>
        <v>15560425.3039345</v>
      </c>
      <c r="C103" s="18" t="n">
        <f aca="false">10+(A103-1)*3</f>
        <v>277</v>
      </c>
      <c r="D103" s="18" t="n">
        <f aca="false">(A103-1)*3</f>
        <v>267</v>
      </c>
    </row>
    <row r="104" customFormat="false" ht="15" hidden="false" customHeight="false" outlineLevel="0" collapsed="false">
      <c r="A104" s="18" t="n">
        <v>91</v>
      </c>
      <c r="B104" s="19" t="n">
        <f aca="false">15*A104^2+50*A104+0.15*A104^4.1+IF(A104&gt;85,0.025*(A104-85)^5.5,0)</f>
        <v>16278811.3413605</v>
      </c>
      <c r="C104" s="18" t="n">
        <f aca="false">10+(A104-1)*3</f>
        <v>280</v>
      </c>
      <c r="D104" s="18" t="n">
        <f aca="false">(A104-1)*3</f>
        <v>270</v>
      </c>
    </row>
    <row r="105" customFormat="false" ht="15" hidden="false" customHeight="false" outlineLevel="0" collapsed="false">
      <c r="A105" s="18" t="n">
        <v>92</v>
      </c>
      <c r="B105" s="19" t="n">
        <f aca="false">15*A105^2+50*A105+0.15*A105^4.1+IF(A105&gt;85,0.025*(A105-85)^5.5,0)</f>
        <v>17022348.9514254</v>
      </c>
      <c r="C105" s="18" t="n">
        <f aca="false">10+(A105-1)*3</f>
        <v>283</v>
      </c>
      <c r="D105" s="18" t="n">
        <f aca="false">(A105-1)*3</f>
        <v>273</v>
      </c>
    </row>
    <row r="106" customFormat="false" ht="15" hidden="false" customHeight="false" outlineLevel="0" collapsed="false">
      <c r="A106" s="18" t="n">
        <v>93</v>
      </c>
      <c r="B106" s="19" t="n">
        <f aca="false">15*A106^2+50*A106+0.15*A106^4.1+IF(A106&gt;85,0.025*(A106-85)^5.5,0)</f>
        <v>17791849.4620314</v>
      </c>
      <c r="C106" s="18" t="n">
        <f aca="false">10+(A106-1)*3</f>
        <v>286</v>
      </c>
      <c r="D106" s="18" t="n">
        <f aca="false">(A106-1)*3</f>
        <v>276</v>
      </c>
    </row>
    <row r="107" customFormat="false" ht="15" hidden="false" customHeight="false" outlineLevel="0" collapsed="false">
      <c r="A107" s="18" t="n">
        <v>94</v>
      </c>
      <c r="B107" s="19" t="n">
        <f aca="false">15*A107^2+50*A107+0.15*A107^4.1+IF(A107&gt;85,0.025*(A107-85)^5.5,0)</f>
        <v>18588231.6489317</v>
      </c>
      <c r="C107" s="18" t="n">
        <f aca="false">10+(A107-1)*3</f>
        <v>289</v>
      </c>
      <c r="D107" s="18" t="n">
        <f aca="false">(A107-1)*3</f>
        <v>279</v>
      </c>
    </row>
    <row r="108" customFormat="false" ht="15" hidden="false" customHeight="false" outlineLevel="0" collapsed="false">
      <c r="A108" s="18" t="n">
        <v>95</v>
      </c>
      <c r="B108" s="19" t="n">
        <f aca="false">15*A108^2+50*A108+0.15*A108^4.1+IF(A108&gt;85,0.025*(A108-85)^5.5,0)</f>
        <v>19412543.963022</v>
      </c>
      <c r="C108" s="18" t="n">
        <f aca="false">10+(A108-1)*3</f>
        <v>292</v>
      </c>
      <c r="D108" s="18" t="n">
        <f aca="false">(A108-1)*3</f>
        <v>282</v>
      </c>
    </row>
    <row r="109" customFormat="false" ht="15" hidden="false" customHeight="false" outlineLevel="0" collapsed="false">
      <c r="A109" s="18" t="n">
        <v>96</v>
      </c>
      <c r="B109" s="19" t="n">
        <f aca="false">15*A109^2+50*A109+0.15*A109^4.1+IF(A109&gt;85,0.025*(A109-85)^5.5,0)</f>
        <v>20265988.1974554</v>
      </c>
      <c r="C109" s="18" t="n">
        <f aca="false">10+(A109-1)*3</f>
        <v>295</v>
      </c>
      <c r="D109" s="18" t="n">
        <f aca="false">(A109-1)*3</f>
        <v>285</v>
      </c>
    </row>
    <row r="110" customFormat="false" ht="15" hidden="false" customHeight="false" outlineLevel="0" collapsed="false">
      <c r="A110" s="18" t="n">
        <v>97</v>
      </c>
      <c r="B110" s="19" t="n">
        <f aca="false">15*A110^2+50*A110+0.15*A110^4.1+IF(A110&gt;85,0.025*(A110-85)^5.5,0)</f>
        <v>21149944.5113759</v>
      </c>
      <c r="C110" s="18" t="n">
        <f aca="false">10+(A110-1)*3</f>
        <v>298</v>
      </c>
      <c r="D110" s="18" t="n">
        <f aca="false">(A110-1)*3</f>
        <v>288</v>
      </c>
    </row>
    <row r="111" customFormat="false" ht="15" hidden="false" customHeight="false" outlineLevel="0" collapsed="false">
      <c r="A111" s="18" t="n">
        <v>98</v>
      </c>
      <c r="B111" s="19" t="n">
        <f aca="false">15*A111^2+50*A111+0.15*A111^4.1+IF(A111&gt;85,0.025*(A111-85)^5.5,0)</f>
        <v>22065997.7400724</v>
      </c>
      <c r="C111" s="18" t="n">
        <f aca="false">10+(A111-1)*3</f>
        <v>301</v>
      </c>
      <c r="D111" s="18" t="n">
        <f aca="false">(A111-1)*3</f>
        <v>291</v>
      </c>
    </row>
    <row r="112" customFormat="false" ht="15" hidden="false" customHeight="false" outlineLevel="0" collapsed="false">
      <c r="A112" s="18" t="n">
        <v>99</v>
      </c>
      <c r="B112" s="19" t="n">
        <f aca="false">15*A112^2+50*A112+0.15*A112^4.1+IF(A112&gt;85,0.025*(A112-85)^5.5,0)</f>
        <v>23015964.93128</v>
      </c>
      <c r="C112" s="18" t="n">
        <f aca="false">10+(A112-1)*3</f>
        <v>304</v>
      </c>
      <c r="D112" s="18" t="n">
        <f aca="false">(A112-1)*3</f>
        <v>294</v>
      </c>
    </row>
    <row r="113" customFormat="false" ht="19.4" hidden="false" customHeight="true" outlineLevel="0" collapsed="false">
      <c r="A113" s="20" t="s">
        <v>1044</v>
      </c>
      <c r="B113" s="20"/>
      <c r="C113" s="20"/>
      <c r="D113" s="20"/>
    </row>
  </sheetData>
  <mergeCells count="5">
    <mergeCell ref="A1:F1"/>
    <mergeCell ref="A2:F2"/>
    <mergeCell ref="A4:B4"/>
    <mergeCell ref="A12:D12"/>
    <mergeCell ref="A113:D1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12"/>
  </cols>
  <sheetData>
    <row r="1" customFormat="false" ht="27.75" hidden="false" customHeight="true" outlineLevel="0" collapsed="false">
      <c r="A1" s="8" t="s">
        <v>1045</v>
      </c>
      <c r="B1" s="8"/>
      <c r="C1" s="8"/>
      <c r="D1" s="8"/>
    </row>
    <row r="2" customFormat="false" ht="15" hidden="false" customHeight="false" outlineLevel="0" collapsed="false">
      <c r="A2" s="9" t="s">
        <v>1046</v>
      </c>
      <c r="B2" s="9"/>
      <c r="C2" s="9"/>
      <c r="D2" s="9"/>
    </row>
    <row r="4" customFormat="false" ht="18" hidden="false" customHeight="true" outlineLevel="0" collapsed="false">
      <c r="A4" s="4" t="s">
        <v>1047</v>
      </c>
      <c r="B4" s="4"/>
    </row>
    <row r="5" customFormat="false" ht="30" hidden="false" customHeight="true" outlineLevel="0" collapsed="false">
      <c r="A5" s="10" t="s">
        <v>408</v>
      </c>
      <c r="B5" s="10" t="s">
        <v>1048</v>
      </c>
    </row>
    <row r="6" customFormat="false" ht="15" hidden="false" customHeight="false" outlineLevel="0" collapsed="false">
      <c r="A6" s="11" t="s">
        <v>1049</v>
      </c>
      <c r="B6" s="12" t="n">
        <v>100</v>
      </c>
    </row>
    <row r="7" customFormat="false" ht="15" hidden="false" customHeight="false" outlineLevel="0" collapsed="false">
      <c r="A7" s="14" t="s">
        <v>1050</v>
      </c>
      <c r="B7" s="15" t="n">
        <v>30</v>
      </c>
    </row>
    <row r="8" customFormat="false" ht="15" hidden="false" customHeight="false" outlineLevel="0" collapsed="false">
      <c r="A8" s="11" t="s">
        <v>1051</v>
      </c>
      <c r="B8" s="12" t="n">
        <v>30</v>
      </c>
    </row>
    <row r="10" customFormat="false" ht="18" hidden="false" customHeight="true" outlineLevel="0" collapsed="false">
      <c r="A10" s="4" t="s">
        <v>1052</v>
      </c>
      <c r="B10" s="4"/>
    </row>
    <row r="11" customFormat="false" ht="23.85" hidden="false" customHeight="false" outlineLevel="0" collapsed="false">
      <c r="A11" s="17" t="s">
        <v>1053</v>
      </c>
      <c r="B11" s="17" t="s">
        <v>1054</v>
      </c>
    </row>
    <row r="12" customFormat="false" ht="15" hidden="false" customHeight="false" outlineLevel="0" collapsed="false">
      <c r="A12" s="18" t="n">
        <v>0</v>
      </c>
      <c r="B12" s="21" t="n">
        <f aca="false">1+A12*0.1</f>
        <v>1</v>
      </c>
    </row>
    <row r="13" customFormat="false" ht="15" hidden="false" customHeight="false" outlineLevel="0" collapsed="false">
      <c r="A13" s="18" t="n">
        <v>1</v>
      </c>
      <c r="B13" s="21" t="n">
        <f aca="false">1+A13*0.1</f>
        <v>1.1</v>
      </c>
    </row>
    <row r="14" customFormat="false" ht="15" hidden="false" customHeight="false" outlineLevel="0" collapsed="false">
      <c r="A14" s="18" t="n">
        <v>2</v>
      </c>
      <c r="B14" s="21" t="n">
        <f aca="false">1+A14*0.1</f>
        <v>1.2</v>
      </c>
    </row>
    <row r="15" customFormat="false" ht="15" hidden="false" customHeight="false" outlineLevel="0" collapsed="false">
      <c r="A15" s="18" t="n">
        <v>3</v>
      </c>
      <c r="B15" s="21" t="n">
        <f aca="false">1+A15*0.1</f>
        <v>1.3</v>
      </c>
    </row>
    <row r="16" customFormat="false" ht="15" hidden="false" customHeight="false" outlineLevel="0" collapsed="false">
      <c r="A16" s="18" t="n">
        <v>4</v>
      </c>
      <c r="B16" s="21" t="n">
        <f aca="false">1+A16*0.1</f>
        <v>1.4</v>
      </c>
    </row>
    <row r="17" customFormat="false" ht="15" hidden="false" customHeight="false" outlineLevel="0" collapsed="false">
      <c r="A17" s="18" t="n">
        <v>5</v>
      </c>
      <c r="B17" s="21" t="n">
        <f aca="false">1+A17*0.1</f>
        <v>1.5</v>
      </c>
    </row>
    <row r="18" customFormat="false" ht="15" hidden="false" customHeight="false" outlineLevel="0" collapsed="false">
      <c r="A18" s="18" t="n">
        <v>6</v>
      </c>
      <c r="B18" s="21" t="n">
        <f aca="false">1+A18*0.1</f>
        <v>1.6</v>
      </c>
    </row>
    <row r="19" customFormat="false" ht="15" hidden="false" customHeight="false" outlineLevel="0" collapsed="false">
      <c r="A19" s="18" t="n">
        <v>7</v>
      </c>
      <c r="B19" s="21" t="n">
        <f aca="false">1+A19*0.1</f>
        <v>1.7</v>
      </c>
    </row>
    <row r="20" customFormat="false" ht="15" hidden="false" customHeight="false" outlineLevel="0" collapsed="false">
      <c r="A20" s="18" t="n">
        <v>8</v>
      </c>
      <c r="B20" s="21" t="n">
        <f aca="false">1+A20*0.1</f>
        <v>1.8</v>
      </c>
    </row>
    <row r="21" customFormat="false" ht="15" hidden="false" customHeight="false" outlineLevel="0" collapsed="false">
      <c r="A21" s="18" t="n">
        <v>9</v>
      </c>
      <c r="B21" s="21" t="n">
        <f aca="false">1+A21*0.1</f>
        <v>1.9</v>
      </c>
    </row>
    <row r="22" customFormat="false" ht="15" hidden="false" customHeight="false" outlineLevel="0" collapsed="false">
      <c r="A22" s="18" t="n">
        <v>10</v>
      </c>
      <c r="B22" s="21" t="n">
        <f aca="false">1+A22*0.1</f>
        <v>2</v>
      </c>
    </row>
    <row r="23" customFormat="false" ht="15" hidden="false" customHeight="false" outlineLevel="0" collapsed="false">
      <c r="A23" s="18" t="n">
        <v>11</v>
      </c>
      <c r="B23" s="21" t="n">
        <f aca="false">1+A23*0.1</f>
        <v>2.1</v>
      </c>
    </row>
    <row r="24" customFormat="false" ht="15" hidden="false" customHeight="false" outlineLevel="0" collapsed="false">
      <c r="A24" s="18" t="n">
        <v>12</v>
      </c>
      <c r="B24" s="21" t="n">
        <f aca="false">1+A24*0.1</f>
        <v>2.2</v>
      </c>
    </row>
    <row r="25" customFormat="false" ht="15" hidden="false" customHeight="false" outlineLevel="0" collapsed="false">
      <c r="A25" s="18" t="n">
        <v>13</v>
      </c>
      <c r="B25" s="21" t="n">
        <f aca="false">1+A25*0.1</f>
        <v>2.3</v>
      </c>
    </row>
    <row r="26" customFormat="false" ht="15" hidden="false" customHeight="false" outlineLevel="0" collapsed="false">
      <c r="A26" s="18" t="n">
        <v>14</v>
      </c>
      <c r="B26" s="21" t="n">
        <f aca="false">1+A26*0.1</f>
        <v>2.4</v>
      </c>
    </row>
    <row r="27" customFormat="false" ht="15" hidden="false" customHeight="false" outlineLevel="0" collapsed="false">
      <c r="A27" s="18" t="n">
        <v>15</v>
      </c>
      <c r="B27" s="21" t="n">
        <f aca="false">1+A27*0.1</f>
        <v>2.5</v>
      </c>
    </row>
    <row r="28" customFormat="false" ht="15" hidden="false" customHeight="false" outlineLevel="0" collapsed="false">
      <c r="A28" s="18" t="n">
        <v>16</v>
      </c>
      <c r="B28" s="21" t="n">
        <f aca="false">1+A28*0.1</f>
        <v>2.6</v>
      </c>
    </row>
    <row r="29" customFormat="false" ht="15" hidden="false" customHeight="false" outlineLevel="0" collapsed="false">
      <c r="A29" s="18" t="n">
        <v>17</v>
      </c>
      <c r="B29" s="21" t="n">
        <f aca="false">1+A29*0.1</f>
        <v>2.7</v>
      </c>
    </row>
    <row r="30" customFormat="false" ht="15" hidden="false" customHeight="false" outlineLevel="0" collapsed="false">
      <c r="A30" s="18" t="n">
        <v>18</v>
      </c>
      <c r="B30" s="21" t="n">
        <f aca="false">1+A30*0.1</f>
        <v>2.8</v>
      </c>
    </row>
    <row r="31" customFormat="false" ht="15" hidden="false" customHeight="false" outlineLevel="0" collapsed="false">
      <c r="A31" s="18" t="n">
        <v>19</v>
      </c>
      <c r="B31" s="21" t="n">
        <f aca="false">1+A31*0.1</f>
        <v>2.9</v>
      </c>
    </row>
    <row r="32" customFormat="false" ht="15" hidden="false" customHeight="false" outlineLevel="0" collapsed="false">
      <c r="A32" s="18" t="n">
        <v>20</v>
      </c>
      <c r="B32" s="21" t="n">
        <f aca="false">1+A32*0.1</f>
        <v>3</v>
      </c>
    </row>
    <row r="34" customFormat="false" ht="18" hidden="false" customHeight="true" outlineLevel="0" collapsed="false">
      <c r="A34" s="4" t="s">
        <v>1055</v>
      </c>
      <c r="B34" s="4"/>
      <c r="C34" s="4"/>
      <c r="D34" s="4"/>
    </row>
    <row r="35" customFormat="false" ht="30" hidden="false" customHeight="true" outlineLevel="0" collapsed="false">
      <c r="A35" s="10" t="s">
        <v>1056</v>
      </c>
      <c r="B35" s="10" t="s">
        <v>1057</v>
      </c>
      <c r="C35" s="10" t="s">
        <v>1058</v>
      </c>
      <c r="D35" s="10" t="s">
        <v>1059</v>
      </c>
    </row>
    <row r="36" customFormat="false" ht="15" hidden="false" customHeight="false" outlineLevel="0" collapsed="false">
      <c r="A36" s="11" t="s">
        <v>1060</v>
      </c>
      <c r="B36" s="12" t="n">
        <v>1</v>
      </c>
      <c r="C36" s="12" t="n">
        <v>0</v>
      </c>
      <c r="D36" s="12" t="n">
        <v>1</v>
      </c>
    </row>
    <row r="37" customFormat="false" ht="15" hidden="false" customHeight="false" outlineLevel="0" collapsed="false">
      <c r="A37" s="14" t="s">
        <v>1061</v>
      </c>
      <c r="B37" s="15" t="n">
        <v>2</v>
      </c>
      <c r="C37" s="15" t="n">
        <v>0</v>
      </c>
      <c r="D37" s="15" t="n">
        <v>0</v>
      </c>
    </row>
    <row r="38" customFormat="false" ht="15" hidden="false" customHeight="false" outlineLevel="0" collapsed="false">
      <c r="A38" s="11" t="s">
        <v>1062</v>
      </c>
      <c r="B38" s="12" t="n">
        <v>1</v>
      </c>
      <c r="C38" s="12" t="n">
        <v>0</v>
      </c>
      <c r="D38" s="12" t="n">
        <v>1</v>
      </c>
    </row>
    <row r="39" customFormat="false" ht="15" hidden="false" customHeight="false" outlineLevel="0" collapsed="false">
      <c r="A39" s="14" t="s">
        <v>1063</v>
      </c>
      <c r="B39" s="15" t="n">
        <v>1</v>
      </c>
      <c r="C39" s="15" t="n">
        <v>0</v>
      </c>
      <c r="D39" s="15" t="n">
        <v>1</v>
      </c>
    </row>
    <row r="40" customFormat="false" ht="15" hidden="false" customHeight="false" outlineLevel="0" collapsed="false">
      <c r="A40" s="11" t="s">
        <v>1064</v>
      </c>
      <c r="B40" s="12" t="n">
        <v>1</v>
      </c>
      <c r="C40" s="12" t="n">
        <v>1</v>
      </c>
      <c r="D40" s="12" t="n">
        <v>0</v>
      </c>
    </row>
    <row r="41" customFormat="false" ht="15" hidden="false" customHeight="false" outlineLevel="0" collapsed="false">
      <c r="A41" s="14" t="s">
        <v>1065</v>
      </c>
      <c r="B41" s="15" t="n">
        <v>0</v>
      </c>
      <c r="C41" s="15" t="n">
        <v>2</v>
      </c>
      <c r="D41" s="15" t="n">
        <v>0</v>
      </c>
    </row>
    <row r="42" customFormat="false" ht="15" hidden="false" customHeight="false" outlineLevel="0" collapsed="false">
      <c r="A42" s="11" t="s">
        <v>1066</v>
      </c>
      <c r="B42" s="12" t="n">
        <v>2</v>
      </c>
      <c r="C42" s="12" t="n">
        <v>0</v>
      </c>
      <c r="D42" s="12" t="n">
        <v>0</v>
      </c>
    </row>
    <row r="44" customFormat="false" ht="18" hidden="false" customHeight="true" outlineLevel="0" collapsed="false">
      <c r="A44" s="4" t="s">
        <v>1067</v>
      </c>
      <c r="B44" s="4"/>
      <c r="C44" s="4"/>
    </row>
    <row r="45" customFormat="false" ht="30" hidden="false" customHeight="true" outlineLevel="0" collapsed="false">
      <c r="A45" s="10" t="s">
        <v>1068</v>
      </c>
      <c r="B45" s="10" t="s">
        <v>1069</v>
      </c>
      <c r="C45" s="10" t="s">
        <v>1070</v>
      </c>
    </row>
    <row r="46" customFormat="false" ht="15" hidden="false" customHeight="false" outlineLevel="0" collapsed="false">
      <c r="A46" s="11" t="s">
        <v>844</v>
      </c>
      <c r="B46" s="12" t="n">
        <v>100</v>
      </c>
      <c r="C46" s="12" t="n">
        <v>50</v>
      </c>
    </row>
    <row r="47" customFormat="false" ht="15" hidden="false" customHeight="false" outlineLevel="0" collapsed="false">
      <c r="A47" s="14" t="s">
        <v>1071</v>
      </c>
      <c r="B47" s="15" t="n">
        <v>15</v>
      </c>
      <c r="C47" s="15" t="n">
        <v>10</v>
      </c>
    </row>
    <row r="48" customFormat="false" ht="15" hidden="false" customHeight="false" outlineLevel="0" collapsed="false">
      <c r="A48" s="11" t="s">
        <v>1072</v>
      </c>
      <c r="B48" s="12" t="n">
        <v>5</v>
      </c>
      <c r="C48" s="12" t="n">
        <v>3</v>
      </c>
    </row>
  </sheetData>
  <mergeCells count="6">
    <mergeCell ref="A1:D1"/>
    <mergeCell ref="A2:D2"/>
    <mergeCell ref="A4:B4"/>
    <mergeCell ref="A10:B10"/>
    <mergeCell ref="A34:D34"/>
    <mergeCell ref="A44:C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6"/>
  </cols>
  <sheetData>
    <row r="1" customFormat="false" ht="27.75" hidden="false" customHeight="true" outlineLevel="0" collapsed="false">
      <c r="A1" s="8" t="s">
        <v>16</v>
      </c>
      <c r="B1" s="8"/>
      <c r="C1" s="8"/>
      <c r="D1" s="8"/>
    </row>
    <row r="2" customFormat="false" ht="15" hidden="false" customHeight="false" outlineLevel="0" collapsed="false">
      <c r="A2" s="9" t="s">
        <v>1073</v>
      </c>
      <c r="B2" s="9"/>
      <c r="C2" s="9"/>
      <c r="D2" s="9"/>
    </row>
    <row r="4" customFormat="false" ht="18" hidden="false" customHeight="true" outlineLevel="0" collapsed="false">
      <c r="A4" s="4" t="s">
        <v>1074</v>
      </c>
      <c r="B4" s="4"/>
    </row>
    <row r="5" customFormat="false" ht="30" hidden="false" customHeight="true" outlineLevel="0" collapsed="false">
      <c r="A5" s="10" t="s">
        <v>1075</v>
      </c>
      <c r="B5" s="10" t="s">
        <v>1076</v>
      </c>
    </row>
    <row r="6" customFormat="false" ht="15" hidden="false" customHeight="false" outlineLevel="0" collapsed="false">
      <c r="A6" s="11" t="s">
        <v>538</v>
      </c>
      <c r="B6" s="12" t="n">
        <v>100</v>
      </c>
    </row>
    <row r="7" customFormat="false" ht="15" hidden="false" customHeight="false" outlineLevel="0" collapsed="false">
      <c r="A7" s="14" t="s">
        <v>541</v>
      </c>
      <c r="B7" s="15" t="n">
        <v>250</v>
      </c>
    </row>
    <row r="8" customFormat="false" ht="15" hidden="false" customHeight="false" outlineLevel="0" collapsed="false">
      <c r="A8" s="11" t="s">
        <v>543</v>
      </c>
      <c r="B8" s="12" t="n">
        <v>500</v>
      </c>
    </row>
    <row r="9" customFormat="false" ht="15" hidden="false" customHeight="false" outlineLevel="0" collapsed="false">
      <c r="A9" s="22" t="s">
        <v>1077</v>
      </c>
      <c r="B9" s="22"/>
    </row>
    <row r="11" customFormat="false" ht="18" hidden="false" customHeight="true" outlineLevel="0" collapsed="false">
      <c r="A11" s="4" t="s">
        <v>1078</v>
      </c>
      <c r="B11" s="4"/>
    </row>
    <row r="12" customFormat="false" ht="30" hidden="false" customHeight="true" outlineLevel="0" collapsed="false">
      <c r="A12" s="10" t="s">
        <v>1079</v>
      </c>
      <c r="B12" s="10" t="s">
        <v>1080</v>
      </c>
    </row>
    <row r="13" customFormat="false" ht="15" hidden="false" customHeight="false" outlineLevel="0" collapsed="false">
      <c r="A13" s="11" t="s">
        <v>570</v>
      </c>
      <c r="B13" s="12" t="n">
        <v>30</v>
      </c>
    </row>
    <row r="14" customFormat="false" ht="23.85" hidden="false" customHeight="false" outlineLevel="0" collapsed="false">
      <c r="A14" s="14" t="s">
        <v>564</v>
      </c>
      <c r="B14" s="15" t="n">
        <v>50</v>
      </c>
    </row>
    <row r="15" customFormat="false" ht="23.85" hidden="false" customHeight="false" outlineLevel="0" collapsed="false">
      <c r="A15" s="11" t="s">
        <v>567</v>
      </c>
      <c r="B15" s="12" t="n">
        <v>50</v>
      </c>
    </row>
    <row r="16" customFormat="false" ht="23.85" hidden="false" customHeight="false" outlineLevel="0" collapsed="false">
      <c r="A16" s="14" t="s">
        <v>1081</v>
      </c>
      <c r="B16" s="15" t="n">
        <v>50</v>
      </c>
    </row>
    <row r="17" customFormat="false" ht="23.85" hidden="false" customHeight="false" outlineLevel="0" collapsed="false">
      <c r="A17" s="11" t="s">
        <v>1082</v>
      </c>
      <c r="B17" s="12" t="n">
        <v>50</v>
      </c>
    </row>
    <row r="18" customFormat="false" ht="23.85" hidden="false" customHeight="false" outlineLevel="0" collapsed="false">
      <c r="A18" s="14" t="s">
        <v>568</v>
      </c>
      <c r="B18" s="15" t="n">
        <v>90</v>
      </c>
    </row>
    <row r="19" customFormat="false" ht="23.85" hidden="false" customHeight="false" outlineLevel="0" collapsed="false">
      <c r="A19" s="11" t="s">
        <v>1083</v>
      </c>
      <c r="B19" s="12" t="n">
        <v>200</v>
      </c>
    </row>
    <row r="20" customFormat="false" ht="15" hidden="false" customHeight="false" outlineLevel="0" collapsed="false">
      <c r="A20" s="22" t="s">
        <v>1084</v>
      </c>
      <c r="B20" s="22"/>
    </row>
    <row r="22" customFormat="false" ht="18" hidden="false" customHeight="true" outlineLevel="0" collapsed="false">
      <c r="A22" s="4" t="s">
        <v>1085</v>
      </c>
      <c r="B22" s="4"/>
      <c r="C22" s="4"/>
    </row>
    <row r="23" customFormat="false" ht="30" hidden="false" customHeight="true" outlineLevel="0" collapsed="false">
      <c r="A23" s="10" t="s">
        <v>1086</v>
      </c>
      <c r="B23" s="10" t="s">
        <v>1087</v>
      </c>
      <c r="C23" s="10" t="s">
        <v>1088</v>
      </c>
    </row>
    <row r="24" customFormat="false" ht="15" hidden="false" customHeight="false" outlineLevel="0" collapsed="false">
      <c r="A24" s="11" t="s">
        <v>1089</v>
      </c>
      <c r="B24" s="12" t="n">
        <v>5</v>
      </c>
      <c r="C24" s="12" t="n">
        <v>1</v>
      </c>
    </row>
    <row r="25" customFormat="false" ht="15" hidden="false" customHeight="false" outlineLevel="0" collapsed="false">
      <c r="A25" s="14" t="s">
        <v>1090</v>
      </c>
      <c r="B25" s="15" t="n">
        <v>10</v>
      </c>
      <c r="C25" s="15" t="n">
        <v>3</v>
      </c>
    </row>
    <row r="26" customFormat="false" ht="15" hidden="false" customHeight="false" outlineLevel="0" collapsed="false">
      <c r="A26" s="11" t="s">
        <v>1091</v>
      </c>
      <c r="B26" s="12" t="n">
        <v>15</v>
      </c>
      <c r="C26" s="12" t="n">
        <v>6</v>
      </c>
    </row>
  </sheetData>
  <mergeCells count="7">
    <mergeCell ref="A1:D1"/>
    <mergeCell ref="A2:D2"/>
    <mergeCell ref="A4:B4"/>
    <mergeCell ref="A9:B9"/>
    <mergeCell ref="A11:B11"/>
    <mergeCell ref="A20:B20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7" min="5" style="0" width="8"/>
  </cols>
  <sheetData>
    <row r="1" customFormat="false" ht="27.75" hidden="false" customHeight="true" outlineLevel="0" collapsed="false">
      <c r="A1" s="8" t="s">
        <v>1092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9" t="s">
        <v>1093</v>
      </c>
      <c r="B2" s="9"/>
      <c r="C2" s="9"/>
      <c r="D2" s="9"/>
      <c r="E2" s="9"/>
      <c r="F2" s="9"/>
    </row>
    <row r="4" customFormat="false" ht="18" hidden="false" customHeight="true" outlineLevel="0" collapsed="false">
      <c r="A4" s="4" t="s">
        <v>1094</v>
      </c>
      <c r="B4" s="4"/>
      <c r="C4" s="4"/>
      <c r="D4" s="4"/>
      <c r="E4" s="4"/>
    </row>
    <row r="5" customFormat="false" ht="30" hidden="false" customHeight="true" outlineLevel="0" collapsed="false">
      <c r="A5" s="10" t="s">
        <v>1095</v>
      </c>
      <c r="B5" s="10" t="s">
        <v>1096</v>
      </c>
      <c r="C5" s="10" t="s">
        <v>1097</v>
      </c>
      <c r="D5" s="10" t="s">
        <v>1098</v>
      </c>
      <c r="E5" s="10" t="s">
        <v>1099</v>
      </c>
    </row>
    <row r="6" customFormat="false" ht="15" hidden="false" customHeight="false" outlineLevel="0" collapsed="false">
      <c r="A6" s="12" t="s">
        <v>1100</v>
      </c>
      <c r="B6" s="11" t="s">
        <v>1101</v>
      </c>
      <c r="C6" s="12" t="n">
        <v>1</v>
      </c>
      <c r="D6" s="12" t="n">
        <v>100</v>
      </c>
      <c r="E6" s="12" t="n">
        <v>0</v>
      </c>
    </row>
    <row r="7" customFormat="false" ht="15" hidden="false" customHeight="false" outlineLevel="0" collapsed="false">
      <c r="A7" s="15" t="s">
        <v>1102</v>
      </c>
      <c r="B7" s="14" t="s">
        <v>1103</v>
      </c>
      <c r="C7" s="15" t="n">
        <v>1.5</v>
      </c>
      <c r="D7" s="15" t="n">
        <v>130</v>
      </c>
      <c r="E7" s="15" t="n">
        <v>15</v>
      </c>
    </row>
    <row r="8" customFormat="false" ht="15" hidden="false" customHeight="false" outlineLevel="0" collapsed="false">
      <c r="A8" s="12" t="s">
        <v>1104</v>
      </c>
      <c r="B8" s="11" t="s">
        <v>1105</v>
      </c>
      <c r="C8" s="12" t="n">
        <v>2</v>
      </c>
      <c r="D8" s="12" t="n">
        <v>160</v>
      </c>
      <c r="E8" s="12" t="n">
        <v>30</v>
      </c>
    </row>
    <row r="9" customFormat="false" ht="15" hidden="false" customHeight="false" outlineLevel="0" collapsed="false">
      <c r="A9" s="15" t="s">
        <v>1106</v>
      </c>
      <c r="B9" s="14" t="s">
        <v>1107</v>
      </c>
      <c r="C9" s="15" t="n">
        <v>2.5</v>
      </c>
      <c r="D9" s="15" t="n">
        <v>190</v>
      </c>
      <c r="E9" s="15" t="n">
        <v>45</v>
      </c>
    </row>
    <row r="10" customFormat="false" ht="15" hidden="false" customHeight="false" outlineLevel="0" collapsed="false">
      <c r="A10" s="12" t="s">
        <v>1108</v>
      </c>
      <c r="B10" s="11" t="s">
        <v>1109</v>
      </c>
      <c r="C10" s="12" t="n">
        <v>3</v>
      </c>
      <c r="D10" s="12" t="n">
        <v>220</v>
      </c>
      <c r="E10" s="12" t="n">
        <v>60</v>
      </c>
    </row>
    <row r="11" customFormat="false" ht="15" hidden="false" customHeight="false" outlineLevel="0" collapsed="false">
      <c r="A11" s="15" t="s">
        <v>1110</v>
      </c>
      <c r="B11" s="14" t="s">
        <v>1111</v>
      </c>
      <c r="C11" s="15" t="n">
        <v>4</v>
      </c>
      <c r="D11" s="15" t="n">
        <v>250</v>
      </c>
      <c r="E11" s="15" t="n">
        <v>75</v>
      </c>
    </row>
    <row r="23" customFormat="false" ht="18" hidden="false" customHeight="true" outlineLevel="0" collapsed="false">
      <c r="A23" s="4" t="s">
        <v>1112</v>
      </c>
      <c r="B23" s="4"/>
      <c r="C23" s="4"/>
      <c r="D23" s="4"/>
      <c r="E23" s="4"/>
      <c r="F23" s="4"/>
      <c r="G23" s="4"/>
    </row>
    <row r="24" customFormat="false" ht="30" hidden="false" customHeight="true" outlineLevel="0" collapsed="false">
      <c r="A24" s="10" t="s">
        <v>1113</v>
      </c>
      <c r="B24" s="10" t="s">
        <v>1100</v>
      </c>
      <c r="C24" s="10" t="s">
        <v>1102</v>
      </c>
      <c r="D24" s="10" t="s">
        <v>1104</v>
      </c>
      <c r="E24" s="10" t="s">
        <v>1106</v>
      </c>
      <c r="F24" s="10" t="s">
        <v>1108</v>
      </c>
      <c r="G24" s="10" t="s">
        <v>1110</v>
      </c>
    </row>
    <row r="25" customFormat="false" ht="15" hidden="false" customHeight="false" outlineLevel="0" collapsed="false">
      <c r="A25" s="11" t="s">
        <v>1100</v>
      </c>
      <c r="B25" s="12" t="n">
        <v>100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</row>
    <row r="26" customFormat="false" ht="15" hidden="false" customHeight="false" outlineLevel="0" collapsed="false">
      <c r="A26" s="14" t="s">
        <v>1102</v>
      </c>
      <c r="B26" s="15" t="n">
        <v>25</v>
      </c>
      <c r="C26" s="15" t="n">
        <v>75</v>
      </c>
      <c r="D26" s="15" t="n">
        <v>0</v>
      </c>
      <c r="E26" s="15" t="n">
        <v>0</v>
      </c>
      <c r="F26" s="15" t="n">
        <v>0</v>
      </c>
      <c r="G26" s="15" t="n">
        <v>0</v>
      </c>
    </row>
    <row r="27" customFormat="false" ht="15" hidden="false" customHeight="false" outlineLevel="0" collapsed="false">
      <c r="A27" s="11" t="s">
        <v>1104</v>
      </c>
      <c r="B27" s="12" t="n">
        <v>10</v>
      </c>
      <c r="C27" s="12" t="n">
        <v>25</v>
      </c>
      <c r="D27" s="12" t="n">
        <v>65</v>
      </c>
      <c r="E27" s="12" t="n">
        <v>0</v>
      </c>
      <c r="F27" s="12" t="n">
        <v>0</v>
      </c>
      <c r="G27" s="12" t="n">
        <v>0</v>
      </c>
    </row>
    <row r="28" customFormat="false" ht="15" hidden="false" customHeight="false" outlineLevel="0" collapsed="false">
      <c r="A28" s="14" t="s">
        <v>1106</v>
      </c>
      <c r="B28" s="15" t="n">
        <v>0</v>
      </c>
      <c r="C28" s="15" t="n">
        <v>10</v>
      </c>
      <c r="D28" s="15" t="n">
        <v>45</v>
      </c>
      <c r="E28" s="15" t="n">
        <v>45</v>
      </c>
      <c r="F28" s="15" t="n">
        <v>0</v>
      </c>
      <c r="G28" s="15" t="n">
        <v>0</v>
      </c>
    </row>
    <row r="29" customFormat="false" ht="15" hidden="false" customHeight="false" outlineLevel="0" collapsed="false">
      <c r="A29" s="11" t="s">
        <v>1108</v>
      </c>
      <c r="B29" s="12" t="n">
        <v>0</v>
      </c>
      <c r="C29" s="12" t="n">
        <v>0</v>
      </c>
      <c r="D29" s="12" t="n">
        <v>20</v>
      </c>
      <c r="E29" s="12" t="n">
        <v>60</v>
      </c>
      <c r="F29" s="12" t="n">
        <v>20</v>
      </c>
      <c r="G29" s="12" t="n">
        <v>0</v>
      </c>
    </row>
    <row r="30" customFormat="false" ht="15" hidden="false" customHeight="false" outlineLevel="0" collapsed="false">
      <c r="A30" s="14" t="s">
        <v>1110</v>
      </c>
      <c r="B30" s="15" t="n">
        <v>0</v>
      </c>
      <c r="C30" s="15" t="n">
        <v>0</v>
      </c>
      <c r="D30" s="15" t="n">
        <v>0</v>
      </c>
      <c r="E30" s="15" t="n">
        <v>35</v>
      </c>
      <c r="F30" s="15" t="n">
        <v>60</v>
      </c>
      <c r="G30" s="15" t="n">
        <v>5</v>
      </c>
    </row>
    <row r="42" customFormat="false" ht="18" hidden="false" customHeight="true" outlineLevel="0" collapsed="false">
      <c r="A42" s="4" t="s">
        <v>1114</v>
      </c>
      <c r="B42" s="4"/>
      <c r="C42" s="4"/>
      <c r="D42" s="4"/>
    </row>
    <row r="43" customFormat="false" ht="30" hidden="false" customHeight="true" outlineLevel="0" collapsed="false">
      <c r="A43" s="10" t="s">
        <v>276</v>
      </c>
      <c r="B43" s="10" t="s">
        <v>1115</v>
      </c>
      <c r="C43" s="10" t="s">
        <v>1116</v>
      </c>
      <c r="D43" s="10" t="s">
        <v>1117</v>
      </c>
    </row>
    <row r="44" customFormat="false" ht="15" hidden="false" customHeight="false" outlineLevel="0" collapsed="false">
      <c r="A44" s="11" t="s">
        <v>1118</v>
      </c>
      <c r="B44" s="12" t="n">
        <v>80</v>
      </c>
      <c r="C44" s="12" t="n">
        <v>100</v>
      </c>
      <c r="D44" s="12" t="n">
        <v>100</v>
      </c>
    </row>
    <row r="45" customFormat="false" ht="15" hidden="false" customHeight="false" outlineLevel="0" collapsed="false">
      <c r="A45" s="14" t="s">
        <v>1119</v>
      </c>
      <c r="B45" s="15" t="n">
        <v>65</v>
      </c>
      <c r="C45" s="15" t="n">
        <v>85</v>
      </c>
      <c r="D45" s="15" t="n">
        <v>250</v>
      </c>
    </row>
    <row r="46" customFormat="false" ht="15" hidden="false" customHeight="false" outlineLevel="0" collapsed="false">
      <c r="A46" s="11" t="s">
        <v>1120</v>
      </c>
      <c r="B46" s="12" t="n">
        <v>50</v>
      </c>
      <c r="C46" s="12" t="n">
        <v>70</v>
      </c>
      <c r="D46" s="12" t="n">
        <v>500</v>
      </c>
    </row>
    <row r="47" customFormat="false" ht="15" hidden="false" customHeight="false" outlineLevel="0" collapsed="false">
      <c r="A47" s="14" t="s">
        <v>1121</v>
      </c>
      <c r="B47" s="15" t="n">
        <v>35</v>
      </c>
      <c r="C47" s="15" t="n">
        <v>55</v>
      </c>
      <c r="D47" s="15" t="n">
        <v>1000</v>
      </c>
    </row>
    <row r="48" customFormat="false" ht="15" hidden="false" customHeight="false" outlineLevel="0" collapsed="false">
      <c r="A48" s="11" t="s">
        <v>1122</v>
      </c>
      <c r="B48" s="12" t="n">
        <v>20</v>
      </c>
      <c r="C48" s="12" t="n">
        <v>40</v>
      </c>
      <c r="D48" s="12" t="n">
        <v>2000</v>
      </c>
    </row>
    <row r="49" customFormat="false" ht="15" hidden="false" customHeight="false" outlineLevel="0" collapsed="false">
      <c r="A49" s="22" t="s">
        <v>1123</v>
      </c>
      <c r="B49" s="22"/>
      <c r="C49" s="22"/>
      <c r="D49" s="22"/>
    </row>
    <row r="51" customFormat="false" ht="18" hidden="false" customHeight="true" outlineLevel="0" collapsed="false">
      <c r="A51" s="4" t="s">
        <v>1124</v>
      </c>
      <c r="B51" s="4"/>
    </row>
    <row r="52" customFormat="false" ht="30" hidden="false" customHeight="true" outlineLevel="0" collapsed="false">
      <c r="A52" s="10" t="s">
        <v>1125</v>
      </c>
      <c r="B52" s="10" t="s">
        <v>1126</v>
      </c>
    </row>
    <row r="53" customFormat="false" ht="15" hidden="false" customHeight="false" outlineLevel="0" collapsed="false">
      <c r="A53" s="11" t="s">
        <v>1127</v>
      </c>
      <c r="B53" s="12" t="n">
        <v>43</v>
      </c>
    </row>
    <row r="54" customFormat="false" ht="15" hidden="false" customHeight="false" outlineLevel="0" collapsed="false">
      <c r="A54" s="14" t="s">
        <v>1128</v>
      </c>
      <c r="B54" s="15" t="n">
        <v>25</v>
      </c>
    </row>
    <row r="55" customFormat="false" ht="15" hidden="false" customHeight="false" outlineLevel="0" collapsed="false">
      <c r="A55" s="11" t="s">
        <v>1129</v>
      </c>
      <c r="B55" s="12" t="n">
        <v>20</v>
      </c>
    </row>
    <row r="56" customFormat="false" ht="15" hidden="false" customHeight="false" outlineLevel="0" collapsed="false">
      <c r="A56" s="14" t="s">
        <v>1130</v>
      </c>
      <c r="B56" s="15" t="n">
        <v>10</v>
      </c>
    </row>
    <row r="57" customFormat="false" ht="15" hidden="false" customHeight="false" outlineLevel="0" collapsed="false">
      <c r="A57" s="11" t="s">
        <v>1131</v>
      </c>
      <c r="B57" s="12" t="n">
        <v>2</v>
      </c>
    </row>
  </sheetData>
  <mergeCells count="7">
    <mergeCell ref="A1:F1"/>
    <mergeCell ref="A2:F2"/>
    <mergeCell ref="A4:E4"/>
    <mergeCell ref="A23:G23"/>
    <mergeCell ref="A42:D42"/>
    <mergeCell ref="A49:D49"/>
    <mergeCell ref="A51:B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</cols>
  <sheetData>
    <row r="1" customFormat="false" ht="27.75" hidden="false" customHeight="true" outlineLevel="0" collapsed="false">
      <c r="A1" s="8" t="s">
        <v>20</v>
      </c>
      <c r="B1" s="8"/>
      <c r="C1" s="8"/>
    </row>
    <row r="2" customFormat="false" ht="15" hidden="false" customHeight="false" outlineLevel="0" collapsed="false">
      <c r="A2" s="9" t="s">
        <v>1132</v>
      </c>
      <c r="B2" s="9"/>
      <c r="C2" s="9"/>
    </row>
    <row r="4" customFormat="false" ht="18" hidden="false" customHeight="true" outlineLevel="0" collapsed="false">
      <c r="A4" s="4" t="s">
        <v>1133</v>
      </c>
      <c r="B4" s="4"/>
    </row>
    <row r="5" customFormat="false" ht="30" hidden="false" customHeight="true" outlineLevel="0" collapsed="false">
      <c r="A5" s="10" t="s">
        <v>1134</v>
      </c>
      <c r="B5" s="10" t="s">
        <v>1126</v>
      </c>
    </row>
    <row r="6" customFormat="false" ht="15" hidden="false" customHeight="false" outlineLevel="0" collapsed="false">
      <c r="A6" s="11" t="s">
        <v>751</v>
      </c>
      <c r="B6" s="12" t="n">
        <v>70</v>
      </c>
    </row>
    <row r="7" customFormat="false" ht="15" hidden="false" customHeight="false" outlineLevel="0" collapsed="false">
      <c r="A7" s="14" t="s">
        <v>753</v>
      </c>
      <c r="B7" s="15" t="n">
        <v>20</v>
      </c>
    </row>
    <row r="8" customFormat="false" ht="15" hidden="false" customHeight="false" outlineLevel="0" collapsed="false">
      <c r="A8" s="11" t="s">
        <v>754</v>
      </c>
      <c r="B8" s="12" t="n">
        <v>8</v>
      </c>
    </row>
    <row r="9" customFormat="false" ht="15" hidden="false" customHeight="false" outlineLevel="0" collapsed="false">
      <c r="A9" s="14" t="s">
        <v>756</v>
      </c>
      <c r="B9" s="15" t="n">
        <v>1.9</v>
      </c>
    </row>
    <row r="10" customFormat="false" ht="15" hidden="false" customHeight="false" outlineLevel="0" collapsed="false">
      <c r="A10" s="11" t="s">
        <v>758</v>
      </c>
      <c r="B10" s="12" t="n">
        <v>0.1</v>
      </c>
    </row>
    <row r="13" customFormat="false" ht="18" hidden="false" customHeight="true" outlineLevel="0" collapsed="false">
      <c r="A13" s="4" t="s">
        <v>1135</v>
      </c>
      <c r="B13" s="4"/>
    </row>
    <row r="14" customFormat="false" ht="30" hidden="false" customHeight="true" outlineLevel="0" collapsed="false">
      <c r="A14" s="10" t="s">
        <v>1136</v>
      </c>
      <c r="B14" s="10" t="s">
        <v>1137</v>
      </c>
    </row>
    <row r="15" customFormat="false" ht="15" hidden="false" customHeight="false" outlineLevel="0" collapsed="false">
      <c r="A15" s="12" t="n">
        <v>1</v>
      </c>
      <c r="B15" s="12" t="n">
        <v>75</v>
      </c>
    </row>
    <row r="16" customFormat="false" ht="15" hidden="false" customHeight="false" outlineLevel="0" collapsed="false">
      <c r="A16" s="15" t="n">
        <v>2</v>
      </c>
      <c r="B16" s="15" t="n">
        <v>50</v>
      </c>
    </row>
    <row r="17" customFormat="false" ht="15" hidden="false" customHeight="false" outlineLevel="0" collapsed="false">
      <c r="A17" s="12" t="n">
        <v>3</v>
      </c>
      <c r="B17" s="12" t="n">
        <v>40</v>
      </c>
    </row>
    <row r="18" customFormat="false" ht="15" hidden="false" customHeight="false" outlineLevel="0" collapsed="false">
      <c r="A18" s="15" t="n">
        <v>4</v>
      </c>
      <c r="B18" s="15" t="n">
        <v>30</v>
      </c>
    </row>
    <row r="19" customFormat="false" ht="15" hidden="false" customHeight="false" outlineLevel="0" collapsed="false">
      <c r="A19" s="12" t="n">
        <v>5</v>
      </c>
      <c r="B19" s="12" t="n">
        <v>20</v>
      </c>
    </row>
    <row r="22" customFormat="false" ht="18" hidden="false" customHeight="true" outlineLevel="0" collapsed="false">
      <c r="A22" s="4" t="s">
        <v>1138</v>
      </c>
      <c r="B22" s="4"/>
    </row>
    <row r="23" customFormat="false" ht="30" hidden="false" customHeight="true" outlineLevel="0" collapsed="false">
      <c r="A23" s="10" t="s">
        <v>724</v>
      </c>
      <c r="B23" s="10" t="s">
        <v>1139</v>
      </c>
    </row>
    <row r="24" customFormat="false" ht="23.85" hidden="false" customHeight="false" outlineLevel="0" collapsed="false">
      <c r="A24" s="11" t="s">
        <v>729</v>
      </c>
      <c r="B24" s="11" t="s">
        <v>1140</v>
      </c>
    </row>
    <row r="25" customFormat="false" ht="23.85" hidden="false" customHeight="false" outlineLevel="0" collapsed="false">
      <c r="A25" s="14" t="s">
        <v>1141</v>
      </c>
      <c r="B25" s="14" t="s">
        <v>1142</v>
      </c>
    </row>
    <row r="26" customFormat="false" ht="23.85" hidden="false" customHeight="false" outlineLevel="0" collapsed="false">
      <c r="A26" s="11" t="s">
        <v>1143</v>
      </c>
      <c r="B26" s="11" t="s">
        <v>1144</v>
      </c>
    </row>
    <row r="27" customFormat="false" ht="19.4" hidden="false" customHeight="true" outlineLevel="0" collapsed="false">
      <c r="A27" s="20" t="s">
        <v>1145</v>
      </c>
      <c r="B27" s="20"/>
    </row>
  </sheetData>
  <mergeCells count="6">
    <mergeCell ref="A1:C1"/>
    <mergeCell ref="A2:C2"/>
    <mergeCell ref="A4:B4"/>
    <mergeCell ref="A13:B13"/>
    <mergeCell ref="A22:B22"/>
    <mergeCell ref="A27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</cols>
  <sheetData>
    <row r="1" customFormat="false" ht="27.75" hidden="false" customHeight="true" outlineLevel="0" collapsed="false">
      <c r="A1" s="8" t="s">
        <v>22</v>
      </c>
      <c r="B1" s="8"/>
      <c r="C1" s="8"/>
    </row>
    <row r="2" customFormat="false" ht="15" hidden="false" customHeight="false" outlineLevel="0" collapsed="false">
      <c r="A2" s="9" t="s">
        <v>1146</v>
      </c>
      <c r="B2" s="9"/>
      <c r="C2" s="9"/>
    </row>
    <row r="4" customFormat="false" ht="18" hidden="false" customHeight="true" outlineLevel="0" collapsed="false">
      <c r="A4" s="4" t="s">
        <v>1147</v>
      </c>
      <c r="B4" s="4"/>
    </row>
    <row r="5" customFormat="false" ht="30" hidden="false" customHeight="true" outlineLevel="0" collapsed="false">
      <c r="A5" s="10" t="s">
        <v>1148</v>
      </c>
      <c r="B5" s="10" t="s">
        <v>1149</v>
      </c>
    </row>
    <row r="6" customFormat="false" ht="15" hidden="false" customHeight="false" outlineLevel="0" collapsed="false">
      <c r="A6" s="11" t="s">
        <v>484</v>
      </c>
      <c r="B6" s="12" t="n">
        <v>300</v>
      </c>
    </row>
    <row r="7" customFormat="false" ht="15" hidden="false" customHeight="false" outlineLevel="0" collapsed="false">
      <c r="A7" s="14" t="s">
        <v>631</v>
      </c>
      <c r="B7" s="15" t="n">
        <v>250</v>
      </c>
    </row>
    <row r="8" customFormat="false" ht="15" hidden="false" customHeight="false" outlineLevel="0" collapsed="false">
      <c r="A8" s="11" t="s">
        <v>425</v>
      </c>
      <c r="B8" s="12" t="n">
        <v>200</v>
      </c>
    </row>
    <row r="9" customFormat="false" ht="15" hidden="false" customHeight="false" outlineLevel="0" collapsed="false">
      <c r="A9" s="14" t="s">
        <v>1150</v>
      </c>
      <c r="B9" s="15" t="n">
        <v>100</v>
      </c>
    </row>
    <row r="12" customFormat="false" ht="18" hidden="false" customHeight="true" outlineLevel="0" collapsed="false">
      <c r="A12" s="4" t="s">
        <v>1151</v>
      </c>
      <c r="B12" s="4"/>
      <c r="C12" s="4"/>
    </row>
    <row r="13" customFormat="false" ht="30" hidden="false" customHeight="true" outlineLevel="0" collapsed="false">
      <c r="A13" s="10" t="s">
        <v>1148</v>
      </c>
      <c r="B13" s="10" t="s">
        <v>1152</v>
      </c>
      <c r="C13" s="10" t="s">
        <v>1153</v>
      </c>
    </row>
    <row r="14" customFormat="false" ht="15" hidden="false" customHeight="false" outlineLevel="0" collapsed="false">
      <c r="A14" s="11" t="s">
        <v>484</v>
      </c>
      <c r="B14" s="12" t="n">
        <v>50</v>
      </c>
      <c r="C14" s="12" t="n">
        <v>5</v>
      </c>
    </row>
    <row r="15" customFormat="false" ht="15" hidden="false" customHeight="false" outlineLevel="0" collapsed="false">
      <c r="A15" s="14" t="s">
        <v>1154</v>
      </c>
      <c r="B15" s="15" t="n">
        <v>30</v>
      </c>
      <c r="C15" s="15" t="n">
        <v>5</v>
      </c>
    </row>
    <row r="16" customFormat="false" ht="15" hidden="false" customHeight="false" outlineLevel="0" collapsed="false">
      <c r="A16" s="11" t="s">
        <v>1155</v>
      </c>
      <c r="B16" s="12" t="n">
        <v>0</v>
      </c>
      <c r="C16" s="12" t="n">
        <v>3</v>
      </c>
    </row>
    <row r="17" customFormat="false" ht="15" hidden="false" customHeight="false" outlineLevel="0" collapsed="false">
      <c r="A17" s="14" t="s">
        <v>1156</v>
      </c>
      <c r="B17" s="15" t="n">
        <v>0</v>
      </c>
      <c r="C17" s="15" t="n">
        <v>1</v>
      </c>
    </row>
    <row r="18" customFormat="false" ht="15" hidden="false" customHeight="false" outlineLevel="0" collapsed="false">
      <c r="A18" s="11" t="s">
        <v>1157</v>
      </c>
      <c r="B18" s="12" t="n">
        <v>0</v>
      </c>
      <c r="C18" s="12" t="n">
        <v>0</v>
      </c>
    </row>
  </sheetData>
  <mergeCells count="4">
    <mergeCell ref="A1:C1"/>
    <mergeCell ref="A2:C2"/>
    <mergeCell ref="A4:B4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20"/>
  </cols>
  <sheetData>
    <row r="1" customFormat="false" ht="27.75" hidden="false" customHeight="true" outlineLevel="0" collapsed="false">
      <c r="A1" s="8" t="s">
        <v>1158</v>
      </c>
      <c r="B1" s="8"/>
      <c r="C1" s="8"/>
      <c r="D1" s="8"/>
    </row>
    <row r="2" customFormat="false" ht="15" hidden="false" customHeight="false" outlineLevel="0" collapsed="false">
      <c r="A2" s="9" t="s">
        <v>1159</v>
      </c>
      <c r="B2" s="9"/>
      <c r="C2" s="9"/>
      <c r="D2" s="9"/>
    </row>
    <row r="4" customFormat="false" ht="18" hidden="false" customHeight="true" outlineLevel="0" collapsed="false">
      <c r="A4" s="4" t="s">
        <v>1160</v>
      </c>
      <c r="B4" s="4"/>
      <c r="C4" s="4"/>
      <c r="D4" s="4"/>
    </row>
    <row r="5" customFormat="false" ht="30" hidden="false" customHeight="true" outlineLevel="0" collapsed="false">
      <c r="A5" s="10" t="s">
        <v>1161</v>
      </c>
      <c r="B5" s="10" t="s">
        <v>1162</v>
      </c>
      <c r="C5" s="10" t="s">
        <v>1163</v>
      </c>
      <c r="D5" s="10" t="s">
        <v>1164</v>
      </c>
    </row>
    <row r="6" customFormat="false" ht="15" hidden="false" customHeight="false" outlineLevel="0" collapsed="false">
      <c r="A6" s="11" t="s">
        <v>1165</v>
      </c>
      <c r="B6" s="12" t="n">
        <v>100</v>
      </c>
      <c r="C6" s="12" t="n">
        <v>1</v>
      </c>
      <c r="D6" s="12" t="n">
        <v>3</v>
      </c>
    </row>
    <row r="7" customFormat="false" ht="15" hidden="false" customHeight="false" outlineLevel="0" collapsed="false">
      <c r="A7" s="14" t="s">
        <v>1166</v>
      </c>
      <c r="B7" s="15" t="n">
        <v>135</v>
      </c>
      <c r="C7" s="15" t="n">
        <v>3</v>
      </c>
      <c r="D7" s="15" t="n">
        <v>9</v>
      </c>
    </row>
    <row r="8" customFormat="false" ht="15" hidden="false" customHeight="false" outlineLevel="0" collapsed="false">
      <c r="A8" s="11" t="s">
        <v>1167</v>
      </c>
      <c r="B8" s="12" t="n">
        <v>170</v>
      </c>
      <c r="C8" s="12" t="n">
        <v>5</v>
      </c>
      <c r="D8" s="12" t="n">
        <v>15</v>
      </c>
    </row>
    <row r="9" customFormat="false" ht="27.75" hidden="false" customHeight="true" outlineLevel="0" collapsed="false">
      <c r="A9" s="20" t="s">
        <v>1168</v>
      </c>
      <c r="B9" s="20"/>
      <c r="C9" s="20"/>
      <c r="D9" s="20"/>
    </row>
  </sheetData>
  <mergeCells count="4">
    <mergeCell ref="A1:D1"/>
    <mergeCell ref="A2:D2"/>
    <mergeCell ref="A4:D4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16"/>
  </cols>
  <sheetData>
    <row r="1" customFormat="false" ht="27.75" hidden="false" customHeight="true" outlineLevel="0" collapsed="false">
      <c r="A1" s="8" t="s">
        <v>1169</v>
      </c>
      <c r="B1" s="8"/>
      <c r="C1" s="8"/>
    </row>
    <row r="2" customFormat="false" ht="15" hidden="false" customHeight="false" outlineLevel="0" collapsed="false">
      <c r="A2" s="9" t="s">
        <v>1170</v>
      </c>
      <c r="B2" s="9"/>
      <c r="C2" s="9"/>
    </row>
    <row r="4" customFormat="false" ht="18" hidden="false" customHeight="true" outlineLevel="0" collapsed="false">
      <c r="A4" s="4" t="s">
        <v>1171</v>
      </c>
      <c r="B4" s="4"/>
      <c r="C4" s="4"/>
    </row>
    <row r="5" customFormat="false" ht="30" hidden="false" customHeight="true" outlineLevel="0" collapsed="false">
      <c r="A5" s="10" t="s">
        <v>1172</v>
      </c>
      <c r="B5" s="10" t="s">
        <v>1096</v>
      </c>
      <c r="C5" s="10" t="s">
        <v>982</v>
      </c>
    </row>
    <row r="6" customFormat="false" ht="15" hidden="false" customHeight="false" outlineLevel="0" collapsed="false">
      <c r="A6" s="12" t="n">
        <v>1</v>
      </c>
      <c r="B6" s="11" t="s">
        <v>1173</v>
      </c>
      <c r="C6" s="11" t="s">
        <v>1174</v>
      </c>
    </row>
    <row r="7" customFormat="false" ht="15" hidden="false" customHeight="false" outlineLevel="0" collapsed="false">
      <c r="A7" s="15" t="n">
        <v>2</v>
      </c>
      <c r="B7" s="14" t="s">
        <v>1175</v>
      </c>
      <c r="C7" s="14" t="s">
        <v>1174</v>
      </c>
    </row>
    <row r="8" customFormat="false" ht="15" hidden="false" customHeight="false" outlineLevel="0" collapsed="false">
      <c r="A8" s="12" t="n">
        <v>3</v>
      </c>
      <c r="B8" s="11" t="s">
        <v>1176</v>
      </c>
      <c r="C8" s="11" t="s">
        <v>1174</v>
      </c>
    </row>
    <row r="9" customFormat="false" ht="15" hidden="false" customHeight="false" outlineLevel="0" collapsed="false">
      <c r="A9" s="15" t="n">
        <v>4</v>
      </c>
      <c r="B9" s="14" t="s">
        <v>1177</v>
      </c>
      <c r="C9" s="14" t="s">
        <v>1174</v>
      </c>
    </row>
    <row r="10" customFormat="false" ht="15" hidden="false" customHeight="false" outlineLevel="0" collapsed="false">
      <c r="A10" s="12" t="n">
        <v>5</v>
      </c>
      <c r="B10" s="11" t="s">
        <v>1178</v>
      </c>
      <c r="C10" s="11" t="s">
        <v>1174</v>
      </c>
    </row>
    <row r="11" customFormat="false" ht="15" hidden="false" customHeight="false" outlineLevel="0" collapsed="false">
      <c r="A11" s="15" t="n">
        <v>6</v>
      </c>
      <c r="B11" s="14" t="s">
        <v>1179</v>
      </c>
      <c r="C11" s="14" t="s">
        <v>1174</v>
      </c>
    </row>
    <row r="12" customFormat="false" ht="15" hidden="false" customHeight="false" outlineLevel="0" collapsed="false">
      <c r="A12" s="12" t="n">
        <v>7</v>
      </c>
      <c r="B12" s="11" t="s">
        <v>1180</v>
      </c>
      <c r="C12" s="11" t="s">
        <v>1174</v>
      </c>
    </row>
    <row r="13" customFormat="false" ht="15" hidden="false" customHeight="false" outlineLevel="0" collapsed="false">
      <c r="A13" s="15" t="n">
        <v>8</v>
      </c>
      <c r="B13" s="14" t="s">
        <v>1181</v>
      </c>
      <c r="C13" s="14" t="s">
        <v>1174</v>
      </c>
    </row>
    <row r="14" customFormat="false" ht="15" hidden="false" customHeight="false" outlineLevel="0" collapsed="false">
      <c r="A14" s="12" t="n">
        <v>9</v>
      </c>
      <c r="B14" s="11" t="s">
        <v>1182</v>
      </c>
      <c r="C14" s="11" t="s">
        <v>1174</v>
      </c>
    </row>
    <row r="15" customFormat="false" ht="15" hidden="false" customHeight="false" outlineLevel="0" collapsed="false">
      <c r="A15" s="15" t="n">
        <v>10</v>
      </c>
      <c r="B15" s="14" t="s">
        <v>1183</v>
      </c>
      <c r="C15" s="14" t="s">
        <v>1174</v>
      </c>
    </row>
    <row r="16" customFormat="false" ht="15" hidden="false" customHeight="false" outlineLevel="0" collapsed="false">
      <c r="A16" s="12" t="n">
        <v>11</v>
      </c>
      <c r="B16" s="11" t="s">
        <v>1184</v>
      </c>
      <c r="C16" s="11" t="s">
        <v>1174</v>
      </c>
    </row>
    <row r="17" customFormat="false" ht="15" hidden="false" customHeight="false" outlineLevel="0" collapsed="false">
      <c r="A17" s="15" t="n">
        <v>12</v>
      </c>
      <c r="B17" s="14" t="s">
        <v>1185</v>
      </c>
      <c r="C17" s="14" t="s">
        <v>1174</v>
      </c>
    </row>
    <row r="18" customFormat="false" ht="15" hidden="false" customHeight="false" outlineLevel="0" collapsed="false">
      <c r="A18" s="12" t="n">
        <v>13</v>
      </c>
      <c r="B18" s="11" t="s">
        <v>1186</v>
      </c>
      <c r="C18" s="11" t="s">
        <v>1174</v>
      </c>
    </row>
    <row r="19" customFormat="false" ht="15" hidden="false" customHeight="false" outlineLevel="0" collapsed="false">
      <c r="A19" s="15" t="n">
        <v>14</v>
      </c>
      <c r="B19" s="14" t="s">
        <v>1187</v>
      </c>
      <c r="C19" s="14" t="s">
        <v>1174</v>
      </c>
    </row>
    <row r="20" customFormat="false" ht="15" hidden="false" customHeight="false" outlineLevel="0" collapsed="false">
      <c r="A20" s="12" t="n">
        <v>15</v>
      </c>
      <c r="B20" s="11" t="s">
        <v>1188</v>
      </c>
      <c r="C20" s="11" t="s">
        <v>1174</v>
      </c>
    </row>
    <row r="21" customFormat="false" ht="15" hidden="false" customHeight="false" outlineLevel="0" collapsed="false">
      <c r="A21" s="15" t="n">
        <v>16</v>
      </c>
      <c r="B21" s="14" t="s">
        <v>1189</v>
      </c>
      <c r="C21" s="14" t="s">
        <v>1174</v>
      </c>
    </row>
    <row r="22" customFormat="false" ht="15" hidden="false" customHeight="false" outlineLevel="0" collapsed="false">
      <c r="A22" s="12" t="n">
        <v>17</v>
      </c>
      <c r="B22" s="11" t="s">
        <v>1190</v>
      </c>
      <c r="C22" s="11" t="s">
        <v>1191</v>
      </c>
    </row>
    <row r="23" customFormat="false" ht="15" hidden="false" customHeight="false" outlineLevel="0" collapsed="false">
      <c r="A23" s="15" t="n">
        <v>18</v>
      </c>
      <c r="B23" s="14" t="s">
        <v>1192</v>
      </c>
      <c r="C23" s="14" t="s">
        <v>1191</v>
      </c>
    </row>
    <row r="26" customFormat="false" ht="18" hidden="false" customHeight="true" outlineLevel="0" collapsed="false">
      <c r="A26" s="4" t="s">
        <v>1193</v>
      </c>
      <c r="B26" s="4"/>
    </row>
    <row r="27" customFormat="false" ht="15" hidden="false" customHeight="false" outlineLevel="0" collapsed="false">
      <c r="A27" s="23" t="s">
        <v>1194</v>
      </c>
      <c r="B27" s="23" t="n">
        <f aca="false">COUNTIF(C6:C23,"Zakończona")</f>
        <v>16</v>
      </c>
    </row>
    <row r="28" customFormat="false" ht="15" hidden="false" customHeight="false" outlineLevel="0" collapsed="false">
      <c r="A28" s="23" t="s">
        <v>1195</v>
      </c>
      <c r="B28" s="23" t="n">
        <f aca="false">COUNTIF(C6:C23,"Planowana")</f>
        <v>2</v>
      </c>
    </row>
  </sheetData>
  <mergeCells count="4">
    <mergeCell ref="A1:C1"/>
    <mergeCell ref="A2:C2"/>
    <mergeCell ref="A4:C4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2026-08-03T10:52:13Z</dcterms:created>
  <dc:creator>openpyxl</dc:creator>
  <dc:description/>
  <dc:language>en-US</dc:language>
  <cp:lastModifiedBy/>
  <dcterms:modified xsi:type="dcterms:W3CDTF">2026-08-03T10:52:17Z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